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2" yWindow="168" windowWidth="10164" windowHeight="9252" firstSheet="1" activeTab="2"/>
  </bookViews>
  <sheets>
    <sheet name="PH (hidden)" sheetId="11" state="hidden" r:id="rId1"/>
    <sheet name="Listing" sheetId="8" r:id="rId2"/>
    <sheet name="Calendar" sheetId="10" r:id="rId3"/>
  </sheets>
  <functionGroups builtInGroupCount="17"/>
  <definedNames>
    <definedName name="_xlnm._FilterDatabase" localSheetId="1" hidden="1">Listing!$C$1:$C$804</definedName>
    <definedName name="_xlnm._FilterDatabase" localSheetId="0" hidden="1">'PH (hidden)'!$A$1:$B$15</definedName>
    <definedName name="_xlnm.Extract" localSheetId="1">Listing!$J$1</definedName>
    <definedName name="_xlnm.Print_Area" localSheetId="2">Calendar!$A$1:$L$39</definedName>
    <definedName name="Z_1596B5E0_A920_4253_A2AC_C16039C617FF_.wvu.Cols" localSheetId="1" hidden="1">Listing!#REF!,Listing!#REF!</definedName>
    <definedName name="Z_1596B5E0_A920_4253_A2AC_C16039C617FF_.wvu.FilterData" localSheetId="1" hidden="1">Listing!#REF!</definedName>
    <definedName name="Z_2551B548_0E6D_46AF_AB49_FEFF8B12AD29_.wvu.Cols" localSheetId="1" hidden="1">Listing!#REF!,Listing!#REF!</definedName>
    <definedName name="Z_2551B548_0E6D_46AF_AB49_FEFF8B12AD29_.wvu.FilterData" localSheetId="1" hidden="1">Listing!#REF!</definedName>
    <definedName name="Z_EE01CCAA_7E28_4768_912B_924F78228F15_.wvu.FilterData" localSheetId="1" hidden="1">Listing!#REF!</definedName>
  </definedNames>
  <calcPr calcId="145621"/>
  <customWorkbookViews>
    <customWorkbookView name="Owner - Personal View" guid="{EE01CCAA-7E28-4768-912B-924F78228F15}" mergeInterval="0" personalView="1" maximized="1" windowWidth="1920" windowHeight="808" tabRatio="252" activeSheetId="8"/>
    <customWorkbookView name="Mandy Ng - Personal View" guid="{2551B548-0E6D-46AF-AB49-FEFF8B12AD29}" mergeInterval="0" personalView="1" maximized="1" xWindow="-1928" yWindow="361" windowWidth="1936" windowHeight="1096" tabRatio="297" activeSheetId="4"/>
    <customWorkbookView name="Fredy - Personal View" guid="{1596B5E0-A920-4253-A2AC-C16039C617FF}" mergeInterval="0" personalView="1" maximized="1" xWindow="-8" yWindow="-8" windowWidth="1936" windowHeight="1056" activeSheetId="4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8" l="1"/>
  <c r="D9" i="8"/>
  <c r="D13" i="8"/>
  <c r="D17" i="8"/>
  <c r="D21" i="8"/>
  <c r="D25" i="8"/>
  <c r="D29" i="8"/>
  <c r="D37" i="8"/>
  <c r="D45" i="8"/>
  <c r="D53" i="8"/>
  <c r="D61" i="8"/>
  <c r="D65" i="8"/>
  <c r="D73" i="8"/>
  <c r="D77" i="8"/>
  <c r="D81" i="8"/>
  <c r="D85" i="8"/>
  <c r="D89" i="8"/>
  <c r="D93" i="8"/>
  <c r="D105" i="8"/>
  <c r="D109" i="8"/>
  <c r="D121" i="8"/>
  <c r="D125" i="8"/>
  <c r="D133" i="8"/>
  <c r="D141" i="8"/>
  <c r="D149" i="8"/>
  <c r="D157" i="8"/>
  <c r="D205" i="8"/>
  <c r="D209" i="8"/>
  <c r="D221" i="8"/>
  <c r="D229" i="8"/>
  <c r="D237" i="8"/>
  <c r="D245" i="8"/>
  <c r="D253" i="8"/>
  <c r="D257" i="8"/>
  <c r="D265" i="8"/>
  <c r="D269" i="8"/>
  <c r="D273" i="8"/>
  <c r="D281" i="8"/>
  <c r="D289" i="8"/>
  <c r="D297" i="8"/>
  <c r="D341" i="8"/>
  <c r="D345" i="8"/>
  <c r="D353" i="8"/>
  <c r="D357" i="8"/>
  <c r="D361" i="8"/>
  <c r="D365" i="8"/>
  <c r="D369" i="8"/>
  <c r="D373" i="8"/>
  <c r="D377" i="8"/>
  <c r="D385" i="8"/>
  <c r="D393" i="8"/>
  <c r="D401" i="8"/>
  <c r="D409" i="8"/>
  <c r="D413" i="8"/>
  <c r="D417" i="8"/>
  <c r="D421" i="8"/>
  <c r="D425" i="8"/>
  <c r="D429" i="8"/>
  <c r="D441" i="8"/>
  <c r="D445" i="8"/>
  <c r="D457" i="8"/>
  <c r="D461" i="8"/>
  <c r="D465" i="8"/>
  <c r="D473" i="8"/>
  <c r="D477" i="8"/>
  <c r="D481" i="8"/>
  <c r="D489" i="8"/>
  <c r="D493" i="8"/>
  <c r="D497" i="8"/>
  <c r="D501" i="8"/>
  <c r="D505" i="8"/>
  <c r="D509" i="8"/>
  <c r="D513" i="8"/>
  <c r="D517" i="8"/>
  <c r="D521" i="8"/>
  <c r="D525" i="8"/>
  <c r="D529" i="8"/>
  <c r="D533" i="8"/>
  <c r="D537" i="8"/>
  <c r="D541" i="8"/>
  <c r="D545" i="8"/>
  <c r="D553" i="8"/>
  <c r="D565" i="8"/>
  <c r="D569" i="8"/>
  <c r="D617" i="8"/>
  <c r="D621" i="8"/>
  <c r="D625" i="8"/>
  <c r="D633" i="8"/>
  <c r="D645" i="8"/>
  <c r="D649" i="8"/>
  <c r="D653" i="8"/>
  <c r="D657" i="8"/>
  <c r="D669" i="8"/>
  <c r="D673" i="8"/>
  <c r="D677" i="8"/>
  <c r="D681" i="8"/>
  <c r="D685" i="8"/>
  <c r="D689" i="8"/>
  <c r="D693" i="8"/>
  <c r="D697" i="8"/>
  <c r="D701" i="8"/>
  <c r="D729" i="8"/>
  <c r="D733" i="8"/>
  <c r="D737" i="8"/>
  <c r="D741" i="8"/>
  <c r="D745" i="8"/>
  <c r="D749" i="8"/>
  <c r="D753" i="8"/>
  <c r="D777" i="8"/>
  <c r="D781" i="8"/>
  <c r="D785" i="8"/>
  <c r="D789" i="8"/>
  <c r="D793" i="8"/>
  <c r="D797" i="8"/>
  <c r="D877" i="8"/>
  <c r="D881" i="8"/>
  <c r="D885" i="8"/>
  <c r="D889" i="8"/>
  <c r="D893" i="8"/>
  <c r="D897" i="8"/>
  <c r="D901" i="8"/>
  <c r="D905" i="8"/>
  <c r="D909" i="8"/>
  <c r="D913" i="8"/>
  <c r="D917" i="8"/>
  <c r="D921" i="8"/>
  <c r="D925" i="8"/>
  <c r="D929" i="8"/>
  <c r="D997" i="8"/>
  <c r="D3" i="8"/>
  <c r="D27" i="8"/>
  <c r="D31" i="8"/>
  <c r="D35" i="8"/>
  <c r="D39" i="8"/>
  <c r="D43" i="8"/>
  <c r="D47" i="8"/>
  <c r="D51" i="8"/>
  <c r="D55" i="8"/>
  <c r="D59" i="8"/>
  <c r="D63" i="8"/>
  <c r="D67" i="8"/>
  <c r="D127" i="8"/>
  <c r="D131" i="8"/>
  <c r="D135" i="8"/>
  <c r="D139" i="8"/>
  <c r="D143" i="8"/>
  <c r="D147" i="8"/>
  <c r="D151" i="8"/>
  <c r="D155" i="8"/>
  <c r="D159" i="8"/>
  <c r="D163" i="8"/>
  <c r="D167" i="8"/>
  <c r="D215" i="8"/>
  <c r="D219" i="8"/>
  <c r="D223" i="8"/>
  <c r="D227" i="8"/>
  <c r="D231" i="8"/>
  <c r="D235" i="8"/>
  <c r="D239" i="8"/>
  <c r="D243" i="8"/>
  <c r="D247" i="8"/>
  <c r="D251" i="8"/>
  <c r="D255" i="8"/>
  <c r="D259" i="8"/>
  <c r="D275" i="8"/>
  <c r="D279" i="8"/>
  <c r="D283" i="8"/>
  <c r="D287" i="8"/>
  <c r="D291" i="8"/>
  <c r="D295" i="8"/>
  <c r="D299" i="8"/>
  <c r="D303" i="8"/>
  <c r="D307" i="8"/>
  <c r="D347" i="8"/>
  <c r="D351" i="8"/>
  <c r="D355" i="8"/>
  <c r="D359" i="8"/>
  <c r="D379" i="8"/>
  <c r="D383" i="8"/>
  <c r="D387" i="8"/>
  <c r="D391" i="8"/>
  <c r="D395" i="8"/>
  <c r="D399" i="8"/>
  <c r="D403" i="8"/>
  <c r="D407" i="8"/>
  <c r="D411" i="8"/>
  <c r="D415" i="8"/>
  <c r="D455" i="8"/>
  <c r="D459" i="8"/>
  <c r="D463" i="8"/>
  <c r="D467" i="8"/>
  <c r="D483" i="8"/>
  <c r="D487" i="8"/>
  <c r="D491" i="8"/>
  <c r="D495" i="8"/>
  <c r="D547" i="8"/>
  <c r="D551" i="8"/>
  <c r="D555" i="8"/>
  <c r="D564" i="8"/>
  <c r="D568" i="8"/>
  <c r="D572" i="8"/>
  <c r="D575" i="8"/>
  <c r="D579" i="8"/>
  <c r="D624" i="8"/>
  <c r="D628" i="8"/>
  <c r="D635" i="8"/>
  <c r="D639" i="8"/>
  <c r="D643" i="8"/>
  <c r="D647" i="8"/>
  <c r="C4" i="8"/>
  <c r="C5" i="8"/>
  <c r="C6" i="8"/>
  <c r="C9" i="8"/>
  <c r="C10" i="8"/>
  <c r="C13" i="8"/>
  <c r="C14" i="8"/>
  <c r="C16" i="8"/>
  <c r="C17" i="8"/>
  <c r="C18" i="8"/>
  <c r="C21" i="8"/>
  <c r="C22" i="8"/>
  <c r="C25" i="8"/>
  <c r="C26" i="8"/>
  <c r="C29" i="8"/>
  <c r="C30" i="8"/>
  <c r="C33" i="8"/>
  <c r="C34" i="8"/>
  <c r="C37" i="8"/>
  <c r="C38" i="8"/>
  <c r="C40" i="8"/>
  <c r="C41" i="8"/>
  <c r="C42" i="8"/>
  <c r="C45" i="8"/>
  <c r="C46" i="8"/>
  <c r="C49" i="8"/>
  <c r="C50" i="8"/>
  <c r="C54" i="8"/>
  <c r="C56" i="8"/>
  <c r="C57" i="8"/>
  <c r="C58" i="8"/>
  <c r="C61" i="8"/>
  <c r="C62" i="8"/>
  <c r="C65" i="8"/>
  <c r="C66" i="8"/>
  <c r="C68" i="8"/>
  <c r="C69" i="8"/>
  <c r="C70" i="8"/>
  <c r="C73" i="8"/>
  <c r="C74" i="8"/>
  <c r="C77" i="8"/>
  <c r="C78" i="8"/>
  <c r="C80" i="8"/>
  <c r="C81" i="8"/>
  <c r="C82" i="8"/>
  <c r="C85" i="8"/>
  <c r="C86" i="8"/>
  <c r="C89" i="8"/>
  <c r="C90" i="8"/>
  <c r="C92" i="8"/>
  <c r="C93" i="8"/>
  <c r="C94" i="8"/>
  <c r="C97" i="8"/>
  <c r="C98" i="8"/>
  <c r="C101" i="8"/>
  <c r="C102" i="8"/>
  <c r="C105" i="8"/>
  <c r="C106" i="8"/>
  <c r="C108" i="8"/>
  <c r="C109" i="8"/>
  <c r="C110" i="8"/>
  <c r="C113" i="8"/>
  <c r="C114" i="8"/>
  <c r="C117" i="8"/>
  <c r="C118" i="8"/>
  <c r="C121" i="8"/>
  <c r="C122" i="8"/>
  <c r="C124" i="8"/>
  <c r="C125" i="8"/>
  <c r="C126" i="8"/>
  <c r="C129" i="8"/>
  <c r="C130" i="8"/>
  <c r="C133" i="8"/>
  <c r="C134" i="8"/>
  <c r="C136" i="8"/>
  <c r="C137" i="8"/>
  <c r="C138" i="8"/>
  <c r="C141" i="8"/>
  <c r="C142" i="8"/>
  <c r="C145" i="8"/>
  <c r="C146" i="8"/>
  <c r="C149" i="8"/>
  <c r="C150" i="8"/>
  <c r="C152" i="8"/>
  <c r="C153" i="8"/>
  <c r="C154" i="8"/>
  <c r="C157" i="8"/>
  <c r="C158" i="8"/>
  <c r="C161" i="8"/>
  <c r="C162" i="8"/>
  <c r="C164" i="8"/>
  <c r="C165" i="8"/>
  <c r="C166" i="8"/>
  <c r="C169" i="8"/>
  <c r="C170" i="8"/>
  <c r="C173" i="8"/>
  <c r="C174" i="8"/>
  <c r="C176" i="8"/>
  <c r="C177" i="8"/>
  <c r="C178" i="8"/>
  <c r="C181" i="8"/>
  <c r="C182" i="8"/>
  <c r="C185" i="8"/>
  <c r="C186" i="8"/>
  <c r="C189" i="8"/>
  <c r="C190" i="8"/>
  <c r="C192" i="8"/>
  <c r="C193" i="8"/>
  <c r="C194" i="8"/>
  <c r="C197" i="8"/>
  <c r="C198" i="8"/>
  <c r="C201" i="8"/>
  <c r="C202" i="8"/>
  <c r="C204" i="8"/>
  <c r="C205" i="8"/>
  <c r="C206" i="8"/>
  <c r="C209" i="8"/>
  <c r="C210" i="8"/>
  <c r="C213" i="8"/>
  <c r="C214" i="8"/>
  <c r="C216" i="8"/>
  <c r="C217" i="8"/>
  <c r="C218" i="8"/>
  <c r="C221" i="8"/>
  <c r="C222" i="8"/>
  <c r="C225" i="8"/>
  <c r="C226" i="8"/>
  <c r="C229" i="8"/>
  <c r="C230" i="8"/>
  <c r="C232" i="8"/>
  <c r="C233" i="8"/>
  <c r="C234" i="8"/>
  <c r="C237" i="8"/>
  <c r="C238" i="8"/>
  <c r="C241" i="8"/>
  <c r="C242" i="8"/>
  <c r="C244" i="8"/>
  <c r="C245" i="8"/>
  <c r="C246" i="8"/>
  <c r="C249" i="8"/>
  <c r="C250" i="8"/>
  <c r="C253" i="8"/>
  <c r="C254" i="8"/>
  <c r="C256" i="8"/>
  <c r="C257" i="8"/>
  <c r="C258" i="8"/>
  <c r="C261" i="8"/>
  <c r="C262" i="8"/>
  <c r="C265" i="8"/>
  <c r="C266" i="8"/>
  <c r="C268" i="8"/>
  <c r="C269" i="8"/>
  <c r="C270" i="8"/>
  <c r="C273" i="8"/>
  <c r="C277" i="8"/>
  <c r="C278" i="8"/>
  <c r="C280" i="8"/>
  <c r="C281" i="8"/>
  <c r="C282" i="8"/>
  <c r="C285" i="8"/>
  <c r="C286" i="8"/>
  <c r="C289" i="8"/>
  <c r="C290" i="8"/>
  <c r="C293" i="8"/>
  <c r="C294" i="8"/>
  <c r="C296" i="8"/>
  <c r="C297" i="8"/>
  <c r="C298" i="8"/>
  <c r="C301" i="8"/>
  <c r="C302" i="8"/>
  <c r="C305" i="8"/>
  <c r="C306" i="8"/>
  <c r="C308" i="8"/>
  <c r="C309" i="8"/>
  <c r="C310" i="8"/>
  <c r="C313" i="8"/>
  <c r="C314" i="8"/>
  <c r="C317" i="8"/>
  <c r="C318" i="8"/>
  <c r="C320" i="8"/>
  <c r="C321" i="8"/>
  <c r="C322" i="8"/>
  <c r="C325" i="8"/>
  <c r="C326" i="8"/>
  <c r="C329" i="8"/>
  <c r="C330" i="8"/>
  <c r="C332" i="8"/>
  <c r="C333" i="8"/>
  <c r="C334" i="8"/>
  <c r="C337" i="8"/>
  <c r="C338" i="8"/>
  <c r="C341" i="8"/>
  <c r="C342" i="8"/>
  <c r="C346" i="8"/>
  <c r="C349" i="8"/>
  <c r="C350" i="8"/>
  <c r="C353" i="8"/>
  <c r="C354" i="8"/>
  <c r="C356" i="8"/>
  <c r="C357" i="8"/>
  <c r="C358" i="8"/>
  <c r="C361" i="8"/>
  <c r="C362" i="8"/>
  <c r="C365" i="8"/>
  <c r="C366" i="8"/>
  <c r="C368" i="8"/>
  <c r="C369" i="8"/>
  <c r="C370" i="8"/>
  <c r="C373" i="8"/>
  <c r="C374" i="8"/>
  <c r="C377" i="8"/>
  <c r="C378" i="8"/>
  <c r="C381" i="8"/>
  <c r="C382" i="8"/>
  <c r="C385" i="8"/>
  <c r="C386" i="8"/>
  <c r="C389" i="8"/>
  <c r="C390" i="8"/>
  <c r="C392" i="8"/>
  <c r="C393" i="8"/>
  <c r="C394" i="8"/>
  <c r="C397" i="8"/>
  <c r="C398" i="8"/>
  <c r="C401" i="8"/>
  <c r="C402" i="8"/>
  <c r="C404" i="8"/>
  <c r="C405" i="8"/>
  <c r="C406" i="8"/>
  <c r="C409" i="8"/>
  <c r="C410" i="8"/>
  <c r="C412" i="8"/>
  <c r="C413" i="8"/>
  <c r="C414" i="8"/>
  <c r="C417" i="8"/>
  <c r="C418" i="8"/>
  <c r="C421" i="8"/>
  <c r="C422" i="8"/>
  <c r="C425" i="8"/>
  <c r="C426" i="8"/>
  <c r="C429" i="8"/>
  <c r="C430" i="8"/>
  <c r="C433" i="8"/>
  <c r="C434" i="8"/>
  <c r="C436" i="8"/>
  <c r="C437" i="8"/>
  <c r="C438" i="8"/>
  <c r="C441" i="8"/>
  <c r="C442" i="8"/>
  <c r="C445" i="8"/>
  <c r="C446" i="8"/>
  <c r="C449" i="8"/>
  <c r="C450" i="8"/>
  <c r="C452" i="8"/>
  <c r="C453" i="8"/>
  <c r="C454" i="8"/>
  <c r="C457" i="8"/>
  <c r="C458" i="8"/>
  <c r="C460" i="8"/>
  <c r="C461" i="8"/>
  <c r="C462" i="8"/>
  <c r="C465" i="8"/>
  <c r="C466" i="8"/>
  <c r="C469" i="8"/>
  <c r="C470" i="8"/>
  <c r="C472" i="8"/>
  <c r="C473" i="8"/>
  <c r="C474" i="8"/>
  <c r="C477" i="8"/>
  <c r="C478" i="8"/>
  <c r="C481" i="8"/>
  <c r="C482" i="8"/>
  <c r="C485" i="8"/>
  <c r="C486" i="8"/>
  <c r="C489" i="8"/>
  <c r="C490" i="8"/>
  <c r="C492" i="8"/>
  <c r="C493" i="8"/>
  <c r="C494" i="8"/>
  <c r="C497" i="8"/>
  <c r="C498" i="8"/>
  <c r="C501" i="8"/>
  <c r="C502" i="8"/>
  <c r="C504" i="8"/>
  <c r="C505" i="8"/>
  <c r="C506" i="8"/>
  <c r="C509" i="8"/>
  <c r="C510" i="8"/>
  <c r="C513" i="8"/>
  <c r="C514" i="8"/>
  <c r="C517" i="8"/>
  <c r="C518" i="8"/>
  <c r="C520" i="8"/>
  <c r="C521" i="8"/>
  <c r="C522" i="8"/>
  <c r="C525" i="8"/>
  <c r="C526" i="8"/>
  <c r="C529" i="8"/>
  <c r="C530" i="8"/>
  <c r="C533" i="8"/>
  <c r="C534" i="8"/>
  <c r="C536" i="8"/>
  <c r="C537" i="8"/>
  <c r="C538" i="8"/>
  <c r="C541" i="8"/>
  <c r="C542" i="8"/>
  <c r="C544" i="8"/>
  <c r="C545" i="8"/>
  <c r="C546" i="8"/>
  <c r="C550" i="8"/>
  <c r="C552" i="8"/>
  <c r="C553" i="8"/>
  <c r="C554" i="8"/>
  <c r="C557" i="8"/>
  <c r="C558" i="8"/>
  <c r="C561" i="8"/>
  <c r="C562" i="8"/>
  <c r="C565" i="8"/>
  <c r="C566" i="8"/>
  <c r="C568" i="8"/>
  <c r="C569" i="8"/>
  <c r="C570" i="8"/>
  <c r="C573" i="8"/>
  <c r="C574" i="8"/>
  <c r="C577" i="8"/>
  <c r="C578" i="8"/>
  <c r="C580" i="8"/>
  <c r="C581" i="8"/>
  <c r="C582" i="8"/>
  <c r="C585" i="8"/>
  <c r="C586" i="8"/>
  <c r="C588" i="8"/>
  <c r="C589" i="8"/>
  <c r="C590" i="8"/>
  <c r="C593" i="8"/>
  <c r="C594" i="8"/>
  <c r="C597" i="8"/>
  <c r="C598" i="8"/>
  <c r="C601" i="8"/>
  <c r="C602" i="8"/>
  <c r="C604" i="8"/>
  <c r="C605" i="8"/>
  <c r="C606" i="8"/>
  <c r="C609" i="8"/>
  <c r="C610" i="8"/>
  <c r="C613" i="8"/>
  <c r="C614" i="8"/>
  <c r="C616" i="8"/>
  <c r="C617" i="8"/>
  <c r="C618" i="8"/>
  <c r="C621" i="8"/>
  <c r="C622" i="8"/>
  <c r="C625" i="8"/>
  <c r="C626" i="8"/>
  <c r="C628" i="8"/>
  <c r="C629" i="8"/>
  <c r="C630" i="8"/>
  <c r="C633" i="8"/>
  <c r="C634" i="8"/>
  <c r="C637" i="8"/>
  <c r="C638" i="8"/>
  <c r="C640" i="8"/>
  <c r="C641" i="8"/>
  <c r="C642" i="8"/>
  <c r="C645" i="8"/>
  <c r="C646" i="8"/>
  <c r="C649" i="8"/>
  <c r="C650" i="8"/>
  <c r="C652" i="8"/>
  <c r="C653" i="8"/>
  <c r="C654" i="8"/>
  <c r="C657" i="8"/>
  <c r="C661" i="8"/>
  <c r="C662" i="8"/>
  <c r="C665" i="8"/>
  <c r="C666" i="8"/>
  <c r="C669" i="8"/>
  <c r="C670" i="8"/>
  <c r="C673" i="8"/>
  <c r="C674" i="8"/>
  <c r="C677" i="8"/>
  <c r="C678" i="8"/>
  <c r="C681" i="8"/>
  <c r="C682" i="8"/>
  <c r="C686" i="8"/>
  <c r="C689" i="8"/>
  <c r="C690" i="8"/>
  <c r="C694" i="8"/>
  <c r="C697" i="8"/>
  <c r="C698" i="8"/>
  <c r="C701" i="8"/>
  <c r="C702" i="8"/>
  <c r="C705" i="8"/>
  <c r="C706" i="8"/>
  <c r="C709" i="8"/>
  <c r="C710" i="8"/>
  <c r="C713" i="8"/>
  <c r="C714" i="8"/>
  <c r="C717" i="8"/>
  <c r="C718" i="8"/>
  <c r="C721" i="8"/>
  <c r="C722" i="8"/>
  <c r="C725" i="8"/>
  <c r="C726" i="8"/>
  <c r="C729" i="8"/>
  <c r="C730" i="8"/>
  <c r="C733" i="8"/>
  <c r="C734" i="8"/>
  <c r="C737" i="8"/>
  <c r="C738" i="8"/>
  <c r="C741" i="8"/>
  <c r="C742" i="8"/>
  <c r="C745" i="8"/>
  <c r="C746" i="8"/>
  <c r="C749" i="8"/>
  <c r="C750" i="8"/>
  <c r="C753" i="8"/>
  <c r="C754" i="8"/>
  <c r="C757" i="8"/>
  <c r="C758" i="8"/>
  <c r="C761" i="8"/>
  <c r="C762" i="8"/>
  <c r="C765" i="8"/>
  <c r="C766" i="8"/>
  <c r="C769" i="8"/>
  <c r="C770" i="8"/>
  <c r="C773" i="8"/>
  <c r="C774" i="8"/>
  <c r="C777" i="8"/>
  <c r="C778" i="8"/>
  <c r="C781" i="8"/>
  <c r="C782" i="8"/>
  <c r="C785" i="8"/>
  <c r="C786" i="8"/>
  <c r="C789" i="8"/>
  <c r="C790" i="8"/>
  <c r="C793" i="8"/>
  <c r="C794" i="8"/>
  <c r="C797" i="8"/>
  <c r="C798" i="8"/>
  <c r="C801" i="8"/>
  <c r="C802" i="8"/>
  <c r="C805" i="8"/>
  <c r="C806" i="8"/>
  <c r="C809" i="8"/>
  <c r="C810" i="8"/>
  <c r="C813" i="8"/>
  <c r="C814" i="8"/>
  <c r="C817" i="8"/>
  <c r="C818" i="8"/>
  <c r="C821" i="8"/>
  <c r="C822" i="8"/>
  <c r="C825" i="8"/>
  <c r="C826" i="8"/>
  <c r="C829" i="8"/>
  <c r="C830" i="8"/>
  <c r="C833" i="8"/>
  <c r="C834" i="8"/>
  <c r="C837" i="8"/>
  <c r="C838" i="8"/>
  <c r="C841" i="8"/>
  <c r="C842" i="8"/>
  <c r="C845" i="8"/>
  <c r="C846" i="8"/>
  <c r="C849" i="8"/>
  <c r="C850" i="8"/>
  <c r="C853" i="8"/>
  <c r="C854" i="8"/>
  <c r="C857" i="8"/>
  <c r="C858" i="8"/>
  <c r="C861" i="8"/>
  <c r="C862" i="8"/>
  <c r="C865" i="8"/>
  <c r="C866" i="8"/>
  <c r="C869" i="8"/>
  <c r="C870" i="8"/>
  <c r="C873" i="8"/>
  <c r="C877" i="8"/>
  <c r="C878" i="8"/>
  <c r="C881" i="8"/>
  <c r="C882" i="8"/>
  <c r="C885" i="8"/>
  <c r="C886" i="8"/>
  <c r="C889" i="8"/>
  <c r="C890" i="8"/>
  <c r="C893" i="8"/>
  <c r="C894" i="8"/>
  <c r="C897" i="8"/>
  <c r="C898" i="8"/>
  <c r="C901" i="8"/>
  <c r="C902" i="8"/>
  <c r="C905" i="8"/>
  <c r="C906" i="8"/>
  <c r="C909" i="8"/>
  <c r="C910" i="8"/>
  <c r="C913" i="8"/>
  <c r="C914" i="8"/>
  <c r="C917" i="8"/>
  <c r="C918" i="8"/>
  <c r="C921" i="8"/>
  <c r="C922" i="8"/>
  <c r="C925" i="8"/>
  <c r="C926" i="8"/>
  <c r="C929" i="8"/>
  <c r="C930" i="8"/>
  <c r="C933" i="8"/>
  <c r="C934" i="8"/>
  <c r="C937" i="8"/>
  <c r="C938" i="8"/>
  <c r="C941" i="8"/>
  <c r="C942" i="8"/>
  <c r="C945" i="8"/>
  <c r="C946" i="8"/>
  <c r="C949" i="8"/>
  <c r="C950" i="8"/>
  <c r="C953" i="8"/>
  <c r="C954" i="8"/>
  <c r="C957" i="8"/>
  <c r="C958" i="8"/>
  <c r="C961" i="8"/>
  <c r="C962" i="8"/>
  <c r="C965" i="8"/>
  <c r="C966" i="8"/>
  <c r="C969" i="8"/>
  <c r="C970" i="8"/>
  <c r="C973" i="8"/>
  <c r="C974" i="8"/>
  <c r="C977" i="8"/>
  <c r="C978" i="8"/>
  <c r="C981" i="8"/>
  <c r="C982" i="8"/>
  <c r="C985" i="8"/>
  <c r="C986" i="8"/>
  <c r="C989" i="8"/>
  <c r="C990" i="8"/>
  <c r="C993" i="8"/>
  <c r="C994" i="8"/>
  <c r="C997" i="8"/>
  <c r="C998" i="8"/>
  <c r="F2" i="8"/>
  <c r="H2" i="8" s="1"/>
  <c r="C3" i="8"/>
  <c r="C8" i="8"/>
  <c r="C11" i="8"/>
  <c r="C12" i="8"/>
  <c r="C15" i="8"/>
  <c r="C19" i="8"/>
  <c r="C20" i="8"/>
  <c r="C24" i="8"/>
  <c r="C28" i="8"/>
  <c r="C31" i="8"/>
  <c r="C32" i="8"/>
  <c r="C35" i="8"/>
  <c r="C36" i="8"/>
  <c r="C39" i="8"/>
  <c r="C43" i="8"/>
  <c r="C44" i="8"/>
  <c r="C47" i="8"/>
  <c r="C48" i="8"/>
  <c r="C51" i="8"/>
  <c r="C52" i="8"/>
  <c r="C53" i="8"/>
  <c r="C55" i="8"/>
  <c r="C59" i="8"/>
  <c r="C60" i="8"/>
  <c r="C64" i="8"/>
  <c r="C67" i="8"/>
  <c r="C72" i="8"/>
  <c r="C75" i="8"/>
  <c r="C76" i="8"/>
  <c r="C79" i="8"/>
  <c r="C83" i="8"/>
  <c r="C84" i="8"/>
  <c r="C87" i="8"/>
  <c r="C88" i="8"/>
  <c r="C95" i="8"/>
  <c r="C96" i="8"/>
  <c r="C99" i="8"/>
  <c r="C100" i="8"/>
  <c r="C103" i="8"/>
  <c r="C104" i="8"/>
  <c r="C107" i="8"/>
  <c r="C111" i="8"/>
  <c r="C112" i="8"/>
  <c r="C115" i="8"/>
  <c r="C116" i="8"/>
  <c r="C119" i="8"/>
  <c r="C120" i="8"/>
  <c r="C123" i="8"/>
  <c r="C128" i="8"/>
  <c r="C131" i="8"/>
  <c r="C132" i="8"/>
  <c r="C135" i="8"/>
  <c r="C139" i="8"/>
  <c r="C140" i="8"/>
  <c r="C143" i="8"/>
  <c r="C144" i="8"/>
  <c r="C147" i="8"/>
  <c r="C148" i="8"/>
  <c r="C151" i="8"/>
  <c r="C155" i="8"/>
  <c r="C156" i="8"/>
  <c r="C159" i="8"/>
  <c r="C160" i="8"/>
  <c r="C167" i="8"/>
  <c r="C168" i="8"/>
  <c r="C172" i="8"/>
  <c r="C175" i="8"/>
  <c r="C179" i="8"/>
  <c r="C180" i="8"/>
  <c r="C183" i="8"/>
  <c r="C184" i="8"/>
  <c r="C187" i="8"/>
  <c r="C188" i="8"/>
  <c r="C191" i="8"/>
  <c r="C196" i="8"/>
  <c r="C199" i="8"/>
  <c r="C200" i="8"/>
  <c r="C203" i="8"/>
  <c r="C207" i="8"/>
  <c r="C208" i="8"/>
  <c r="C211" i="8"/>
  <c r="C212" i="8"/>
  <c r="C219" i="8"/>
  <c r="C220" i="8"/>
  <c r="C223" i="8"/>
  <c r="C224" i="8"/>
  <c r="C227" i="8"/>
  <c r="C228" i="8"/>
  <c r="C231" i="8"/>
  <c r="C235" i="8"/>
  <c r="C236" i="8"/>
  <c r="C239" i="8"/>
  <c r="C240" i="8"/>
  <c r="C243" i="8"/>
  <c r="C247" i="8"/>
  <c r="C248" i="8"/>
  <c r="C251" i="8"/>
  <c r="C252" i="8"/>
  <c r="C259" i="8"/>
  <c r="C260" i="8"/>
  <c r="C264" i="8"/>
  <c r="C267" i="8"/>
  <c r="C272" i="8"/>
  <c r="C275" i="8"/>
  <c r="C276" i="8"/>
  <c r="C279" i="8"/>
  <c r="C283" i="8"/>
  <c r="C284" i="8"/>
  <c r="C287" i="8"/>
  <c r="C288" i="8"/>
  <c r="C291" i="8"/>
  <c r="C292" i="8"/>
  <c r="C295" i="8"/>
  <c r="C299" i="8"/>
  <c r="C300" i="8"/>
  <c r="C304" i="8"/>
  <c r="C307" i="8"/>
  <c r="C312" i="8"/>
  <c r="C315" i="8"/>
  <c r="C316" i="8"/>
  <c r="C319" i="8"/>
  <c r="C323" i="8"/>
  <c r="C324" i="8"/>
  <c r="C327" i="8"/>
  <c r="C328" i="8"/>
  <c r="C335" i="8"/>
  <c r="C336" i="8"/>
  <c r="C339" i="8"/>
  <c r="C340" i="8"/>
  <c r="C343" i="8"/>
  <c r="C344" i="8"/>
  <c r="C347" i="8"/>
  <c r="C348" i="8"/>
  <c r="C351" i="8"/>
  <c r="C352" i="8"/>
  <c r="C359" i="8"/>
  <c r="C360" i="8"/>
  <c r="C364" i="8"/>
  <c r="C367" i="8"/>
  <c r="C372" i="8"/>
  <c r="C375" i="8"/>
  <c r="C376" i="8"/>
  <c r="C380" i="8"/>
  <c r="C383" i="8"/>
  <c r="C384" i="8"/>
  <c r="C387" i="8"/>
  <c r="C388" i="8"/>
  <c r="C391" i="8"/>
  <c r="C395" i="8"/>
  <c r="C396" i="8"/>
  <c r="C399" i="8"/>
  <c r="C400" i="8"/>
  <c r="C403" i="8"/>
  <c r="C407" i="8"/>
  <c r="C408" i="8"/>
  <c r="C415" i="8"/>
  <c r="C416" i="8"/>
  <c r="C420" i="8"/>
  <c r="C424" i="8"/>
  <c r="C427" i="8"/>
  <c r="C428" i="8"/>
  <c r="C431" i="8"/>
  <c r="C432" i="8"/>
  <c r="C435" i="8"/>
  <c r="C439" i="8"/>
  <c r="C440" i="8"/>
  <c r="C443" i="8"/>
  <c r="C444" i="8"/>
  <c r="C447" i="8"/>
  <c r="C448" i="8"/>
  <c r="C451" i="8"/>
  <c r="C456" i="8"/>
  <c r="C463" i="8"/>
  <c r="C464" i="8"/>
  <c r="C467" i="8"/>
  <c r="C468" i="8"/>
  <c r="C475" i="8"/>
  <c r="C476" i="8"/>
  <c r="C480" i="8"/>
  <c r="C484" i="8"/>
  <c r="C487" i="8"/>
  <c r="C488" i="8"/>
  <c r="C495" i="8"/>
  <c r="C496" i="8"/>
  <c r="C500" i="8"/>
  <c r="C503" i="8"/>
  <c r="C507" i="8"/>
  <c r="C508" i="8"/>
  <c r="C511" i="8"/>
  <c r="C512" i="8"/>
  <c r="C515" i="8"/>
  <c r="C516" i="8"/>
  <c r="C519" i="8"/>
  <c r="C523" i="8"/>
  <c r="C524" i="8"/>
  <c r="C527" i="8"/>
  <c r="C528" i="8"/>
  <c r="C531" i="8"/>
  <c r="C532" i="8"/>
  <c r="C535" i="8"/>
  <c r="C540" i="8"/>
  <c r="C543" i="8"/>
  <c r="C548" i="8"/>
  <c r="C549" i="8"/>
  <c r="C551" i="8"/>
  <c r="C555" i="8"/>
  <c r="C556" i="8"/>
  <c r="C559" i="8"/>
  <c r="C560" i="8"/>
  <c r="C563" i="8"/>
  <c r="C564" i="8"/>
  <c r="C567" i="8"/>
  <c r="C571" i="8"/>
  <c r="C572" i="8"/>
  <c r="C576" i="8"/>
  <c r="C579" i="8"/>
  <c r="C584" i="8"/>
  <c r="C587" i="8"/>
  <c r="C591" i="8"/>
  <c r="C592" i="8"/>
  <c r="C595" i="8"/>
  <c r="C596" i="8"/>
  <c r="C599" i="8"/>
  <c r="C600" i="8"/>
  <c r="C603" i="8"/>
  <c r="C607" i="8"/>
  <c r="C608" i="8"/>
  <c r="C611" i="8"/>
  <c r="C612" i="8"/>
  <c r="C619" i="8"/>
  <c r="C620" i="8"/>
  <c r="C624" i="8"/>
  <c r="C627" i="8"/>
  <c r="C631" i="8"/>
  <c r="C635" i="8"/>
  <c r="C636" i="8"/>
  <c r="C639" i="8"/>
  <c r="C643" i="8"/>
  <c r="C644" i="8"/>
  <c r="C647" i="8"/>
  <c r="C648" i="8"/>
  <c r="C655" i="8"/>
  <c r="C656" i="8"/>
  <c r="C660" i="8"/>
  <c r="C663" i="8"/>
  <c r="C664" i="8"/>
  <c r="C668" i="8"/>
  <c r="C671" i="8"/>
  <c r="C672" i="8"/>
  <c r="C675" i="8"/>
  <c r="C676" i="8"/>
  <c r="C679" i="8"/>
  <c r="C680" i="8"/>
  <c r="C683" i="8"/>
  <c r="C684" i="8"/>
  <c r="C685" i="8"/>
  <c r="C688" i="8"/>
  <c r="C691" i="8"/>
  <c r="C692" i="8"/>
  <c r="C693" i="8"/>
  <c r="C695" i="8"/>
  <c r="C696" i="8"/>
  <c r="C699" i="8"/>
  <c r="C700" i="8"/>
  <c r="C704" i="8"/>
  <c r="C707" i="8"/>
  <c r="C708" i="8"/>
  <c r="C711" i="8"/>
  <c r="C712" i="8"/>
  <c r="C715" i="8"/>
  <c r="C716" i="8"/>
  <c r="C719" i="8"/>
  <c r="C723" i="8"/>
  <c r="C724" i="8"/>
  <c r="C728" i="8"/>
  <c r="C731" i="8"/>
  <c r="C732" i="8"/>
  <c r="C735" i="8"/>
  <c r="C736" i="8"/>
  <c r="C740" i="8"/>
  <c r="C743" i="8"/>
  <c r="C744" i="8"/>
  <c r="C747" i="8"/>
  <c r="C748" i="8"/>
  <c r="C751" i="8"/>
  <c r="C752" i="8"/>
  <c r="C756" i="8"/>
  <c r="C759" i="8"/>
  <c r="C760" i="8"/>
  <c r="C764" i="8"/>
  <c r="C767" i="8"/>
  <c r="C768" i="8"/>
  <c r="C771" i="8"/>
  <c r="C772" i="8"/>
  <c r="C776" i="8"/>
  <c r="C779" i="8"/>
  <c r="C780" i="8"/>
  <c r="C783" i="8"/>
  <c r="C784" i="8"/>
  <c r="C787" i="8"/>
  <c r="C788" i="8"/>
  <c r="C792" i="8"/>
  <c r="C795" i="8"/>
  <c r="C796" i="8"/>
  <c r="C800" i="8"/>
  <c r="C803" i="8"/>
  <c r="C804" i="8"/>
  <c r="C807" i="8"/>
  <c r="C808" i="8"/>
  <c r="C811" i="8"/>
  <c r="C812" i="8"/>
  <c r="C815" i="8"/>
  <c r="C816" i="8"/>
  <c r="C820" i="8"/>
  <c r="C823" i="8"/>
  <c r="C824" i="8"/>
  <c r="C827" i="8"/>
  <c r="C828" i="8"/>
  <c r="C831" i="8"/>
  <c r="C832" i="8"/>
  <c r="C835" i="8"/>
  <c r="C836" i="8"/>
  <c r="C839" i="8"/>
  <c r="C840" i="8"/>
  <c r="C843" i="8"/>
  <c r="C844" i="8"/>
  <c r="C847" i="8"/>
  <c r="C848" i="8"/>
  <c r="C851" i="8"/>
  <c r="C852" i="8"/>
  <c r="C855" i="8"/>
  <c r="C856" i="8"/>
  <c r="C859" i="8"/>
  <c r="C860" i="8"/>
  <c r="C863" i="8"/>
  <c r="C864" i="8"/>
  <c r="C867" i="8"/>
  <c r="C868" i="8"/>
  <c r="C871" i="8"/>
  <c r="C872" i="8"/>
  <c r="C875" i="8"/>
  <c r="C876" i="8"/>
  <c r="C879" i="8"/>
  <c r="C880" i="8"/>
  <c r="C883" i="8"/>
  <c r="C884" i="8"/>
  <c r="C887" i="8"/>
  <c r="C888" i="8"/>
  <c r="C891" i="8"/>
  <c r="C892" i="8"/>
  <c r="C895" i="8"/>
  <c r="C896" i="8"/>
  <c r="C899" i="8"/>
  <c r="C900" i="8"/>
  <c r="C903" i="8"/>
  <c r="C904" i="8"/>
  <c r="C907" i="8"/>
  <c r="C908" i="8"/>
  <c r="C911" i="8"/>
  <c r="C912" i="8"/>
  <c r="C915" i="8"/>
  <c r="C919" i="8"/>
  <c r="C920" i="8"/>
  <c r="C923" i="8"/>
  <c r="C924" i="8"/>
  <c r="C927" i="8"/>
  <c r="C928" i="8"/>
  <c r="C931" i="8"/>
  <c r="C935" i="8"/>
  <c r="C936" i="8"/>
  <c r="C939" i="8"/>
  <c r="C940" i="8"/>
  <c r="C943" i="8"/>
  <c r="C944" i="8"/>
  <c r="C947" i="8"/>
  <c r="C948" i="8"/>
  <c r="C951" i="8"/>
  <c r="C952" i="8"/>
  <c r="C955" i="8"/>
  <c r="C956" i="8"/>
  <c r="C959" i="8"/>
  <c r="C960" i="8"/>
  <c r="C963" i="8"/>
  <c r="C964" i="8"/>
  <c r="C967" i="8"/>
  <c r="C968" i="8"/>
  <c r="C971" i="8"/>
  <c r="C972" i="8"/>
  <c r="C975" i="8"/>
  <c r="C976" i="8"/>
  <c r="C979" i="8"/>
  <c r="C983" i="8"/>
  <c r="C984" i="8"/>
  <c r="C987" i="8"/>
  <c r="C988" i="8"/>
  <c r="C991" i="8"/>
  <c r="C992" i="8"/>
  <c r="C995" i="8"/>
  <c r="C999" i="8"/>
  <c r="C1000" i="8"/>
  <c r="D4" i="8"/>
  <c r="D6" i="8"/>
  <c r="C7" i="8"/>
  <c r="D7" i="8"/>
  <c r="D8" i="8"/>
  <c r="D10" i="8"/>
  <c r="D11" i="8"/>
  <c r="D12" i="8"/>
  <c r="D14" i="8"/>
  <c r="D15" i="8"/>
  <c r="D16" i="8"/>
  <c r="D18" i="8"/>
  <c r="D19" i="8"/>
  <c r="D20" i="8"/>
  <c r="D22" i="8"/>
  <c r="C23" i="8"/>
  <c r="D23" i="8"/>
  <c r="D26" i="8"/>
  <c r="C27" i="8"/>
  <c r="D30" i="8"/>
  <c r="D33" i="8"/>
  <c r="D34" i="8"/>
  <c r="D38" i="8"/>
  <c r="D41" i="8"/>
  <c r="D42" i="8"/>
  <c r="D46" i="8"/>
  <c r="D49" i="8"/>
  <c r="D50" i="8"/>
  <c r="D54" i="8"/>
  <c r="D57" i="8"/>
  <c r="D58" i="8"/>
  <c r="D62" i="8"/>
  <c r="C63" i="8"/>
  <c r="D64" i="8"/>
  <c r="D66" i="8"/>
  <c r="D68" i="8"/>
  <c r="D69" i="8"/>
  <c r="D70" i="8"/>
  <c r="C71" i="8"/>
  <c r="D71" i="8"/>
  <c r="D72" i="8"/>
  <c r="D74" i="8"/>
  <c r="D75" i="8"/>
  <c r="D76" i="8"/>
  <c r="D78" i="8"/>
  <c r="D79" i="8"/>
  <c r="D80" i="8"/>
  <c r="D82" i="8"/>
  <c r="D83" i="8"/>
  <c r="D84" i="8"/>
  <c r="D86" i="8"/>
  <c r="D87" i="8"/>
  <c r="D88" i="8"/>
  <c r="D90" i="8"/>
  <c r="C91" i="8"/>
  <c r="D91" i="8"/>
  <c r="D94" i="8"/>
  <c r="D95" i="8"/>
  <c r="D97" i="8"/>
  <c r="D98" i="8"/>
  <c r="D99" i="8"/>
  <c r="D101" i="8"/>
  <c r="D102" i="8"/>
  <c r="D103" i="8"/>
  <c r="D106" i="8"/>
  <c r="D107" i="8"/>
  <c r="D110" i="8"/>
  <c r="D111" i="8"/>
  <c r="D113" i="8"/>
  <c r="D114" i="8"/>
  <c r="D115" i="8"/>
  <c r="D117" i="8"/>
  <c r="D118" i="8"/>
  <c r="D119" i="8"/>
  <c r="D122" i="8"/>
  <c r="D123" i="8"/>
  <c r="D126" i="8"/>
  <c r="C127" i="8"/>
  <c r="D129" i="8"/>
  <c r="D130" i="8"/>
  <c r="D134" i="8"/>
  <c r="D137" i="8"/>
  <c r="D138" i="8"/>
  <c r="D142" i="8"/>
  <c r="D145" i="8"/>
  <c r="D146" i="8"/>
  <c r="D150" i="8"/>
  <c r="D153" i="8"/>
  <c r="D154" i="8"/>
  <c r="D158" i="8"/>
  <c r="D161" i="8"/>
  <c r="D162" i="8"/>
  <c r="C163" i="8"/>
  <c r="D164" i="8"/>
  <c r="D165" i="8"/>
  <c r="D166" i="8"/>
  <c r="D168" i="8"/>
  <c r="D169" i="8"/>
  <c r="D170" i="8"/>
  <c r="C171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C195" i="8"/>
  <c r="D195" i="8"/>
  <c r="D197" i="8"/>
  <c r="D198" i="8"/>
  <c r="D199" i="8"/>
  <c r="D201" i="8"/>
  <c r="D202" i="8"/>
  <c r="D203" i="8"/>
  <c r="D206" i="8"/>
  <c r="D207" i="8"/>
  <c r="D210" i="8"/>
  <c r="D211" i="8"/>
  <c r="D213" i="8"/>
  <c r="D214" i="8"/>
  <c r="C215" i="8"/>
  <c r="D217" i="8"/>
  <c r="D218" i="8"/>
  <c r="D222" i="8"/>
  <c r="D225" i="8"/>
  <c r="D226" i="8"/>
  <c r="D230" i="8"/>
  <c r="D233" i="8"/>
  <c r="D234" i="8"/>
  <c r="D238" i="8"/>
  <c r="D241" i="8"/>
  <c r="D242" i="8"/>
  <c r="D246" i="8"/>
  <c r="D249" i="8"/>
  <c r="D250" i="8"/>
  <c r="D254" i="8"/>
  <c r="C255" i="8"/>
  <c r="D256" i="8"/>
  <c r="D258" i="8"/>
  <c r="D260" i="8"/>
  <c r="D261" i="8"/>
  <c r="D262" i="8"/>
  <c r="C263" i="8"/>
  <c r="D263" i="8"/>
  <c r="D264" i="8"/>
  <c r="D266" i="8"/>
  <c r="D267" i="8"/>
  <c r="D268" i="8"/>
  <c r="D270" i="8"/>
  <c r="C271" i="8"/>
  <c r="D271" i="8"/>
  <c r="C274" i="8"/>
  <c r="D274" i="8"/>
  <c r="D277" i="8"/>
  <c r="D278" i="8"/>
  <c r="D282" i="8"/>
  <c r="D285" i="8"/>
  <c r="D286" i="8"/>
  <c r="D290" i="8"/>
  <c r="D293" i="8"/>
  <c r="D294" i="8"/>
  <c r="D298" i="8"/>
  <c r="D301" i="8"/>
  <c r="D302" i="8"/>
  <c r="C303" i="8"/>
  <c r="D304" i="8"/>
  <c r="D305" i="8"/>
  <c r="D306" i="8"/>
  <c r="D308" i="8"/>
  <c r="D309" i="8"/>
  <c r="D310" i="8"/>
  <c r="C311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C331" i="8"/>
  <c r="D331" i="8"/>
  <c r="D333" i="8"/>
  <c r="D334" i="8"/>
  <c r="D335" i="8"/>
  <c r="D337" i="8"/>
  <c r="D338" i="8"/>
  <c r="D339" i="8"/>
  <c r="D342" i="8"/>
  <c r="D343" i="8"/>
  <c r="C345" i="8"/>
  <c r="D346" i="8"/>
  <c r="D349" i="8"/>
  <c r="D350" i="8"/>
  <c r="D354" i="8"/>
  <c r="C355" i="8"/>
  <c r="D356" i="8"/>
  <c r="D358" i="8"/>
  <c r="D360" i="8"/>
  <c r="D362" i="8"/>
  <c r="C363" i="8"/>
  <c r="D363" i="8"/>
  <c r="D364" i="8"/>
  <c r="D366" i="8"/>
  <c r="D367" i="8"/>
  <c r="D368" i="8"/>
  <c r="D370" i="8"/>
  <c r="C371" i="8"/>
  <c r="D371" i="8"/>
  <c r="D374" i="8"/>
  <c r="D375" i="8"/>
  <c r="D378" i="8"/>
  <c r="C379" i="8"/>
  <c r="D381" i="8"/>
  <c r="D382" i="8"/>
  <c r="D386" i="8"/>
  <c r="D389" i="8"/>
  <c r="D390" i="8"/>
  <c r="D394" i="8"/>
  <c r="D397" i="8"/>
  <c r="D398" i="8"/>
  <c r="D402" i="8"/>
  <c r="D405" i="8"/>
  <c r="D406" i="8"/>
  <c r="D410" i="8"/>
  <c r="C411" i="8"/>
  <c r="D412" i="8"/>
  <c r="D414" i="8"/>
  <c r="D416" i="8"/>
  <c r="D418" i="8"/>
  <c r="C419" i="8"/>
  <c r="D419" i="8"/>
  <c r="D420" i="8"/>
  <c r="D422" i="8"/>
  <c r="C423" i="8"/>
  <c r="D423" i="8"/>
  <c r="D426" i="8"/>
  <c r="D427" i="8"/>
  <c r="D430" i="8"/>
  <c r="D431" i="8"/>
  <c r="D433" i="8"/>
  <c r="D434" i="8"/>
  <c r="D435" i="8"/>
  <c r="D437" i="8"/>
  <c r="D438" i="8"/>
  <c r="D439" i="8"/>
  <c r="D442" i="8"/>
  <c r="D443" i="8"/>
  <c r="D446" i="8"/>
  <c r="D447" i="8"/>
  <c r="D449" i="8"/>
  <c r="D450" i="8"/>
  <c r="D451" i="8"/>
  <c r="D453" i="8"/>
  <c r="D454" i="8"/>
  <c r="C455" i="8"/>
  <c r="D458" i="8"/>
  <c r="C459" i="8"/>
  <c r="D460" i="8"/>
  <c r="D462" i="8"/>
  <c r="D464" i="8"/>
  <c r="D466" i="8"/>
  <c r="D468" i="8"/>
  <c r="D469" i="8"/>
  <c r="D470" i="8"/>
  <c r="C471" i="8"/>
  <c r="D471" i="8"/>
  <c r="D472" i="8"/>
  <c r="D474" i="8"/>
  <c r="D475" i="8"/>
  <c r="D476" i="8"/>
  <c r="D478" i="8"/>
  <c r="C479" i="8"/>
  <c r="D479" i="8"/>
  <c r="D482" i="8"/>
  <c r="C483" i="8"/>
  <c r="D485" i="8"/>
  <c r="D486" i="8"/>
  <c r="D490" i="8"/>
  <c r="C491" i="8"/>
  <c r="D492" i="8"/>
  <c r="D494" i="8"/>
  <c r="D496" i="8"/>
  <c r="D498" i="8"/>
  <c r="C499" i="8"/>
  <c r="D499" i="8"/>
  <c r="D500" i="8"/>
  <c r="D502" i="8"/>
  <c r="D503" i="8"/>
  <c r="D504" i="8"/>
  <c r="D506" i="8"/>
  <c r="D507" i="8"/>
  <c r="D508" i="8"/>
  <c r="D510" i="8"/>
  <c r="D511" i="8"/>
  <c r="D512" i="8"/>
  <c r="D514" i="8"/>
  <c r="D515" i="8"/>
  <c r="D516" i="8"/>
  <c r="D518" i="8"/>
  <c r="D519" i="8"/>
  <c r="D520" i="8"/>
  <c r="D522" i="8"/>
  <c r="D523" i="8"/>
  <c r="D524" i="8"/>
  <c r="D526" i="8"/>
  <c r="D527" i="8"/>
  <c r="D528" i="8"/>
  <c r="D530" i="8"/>
  <c r="D531" i="8"/>
  <c r="D532" i="8"/>
  <c r="D534" i="8"/>
  <c r="D535" i="8"/>
  <c r="D536" i="8"/>
  <c r="D538" i="8"/>
  <c r="C539" i="8"/>
  <c r="D539" i="8"/>
  <c r="D542" i="8"/>
  <c r="D543" i="8"/>
  <c r="D546" i="8"/>
  <c r="C547" i="8"/>
  <c r="D549" i="8"/>
  <c r="D550" i="8"/>
  <c r="D554" i="8"/>
  <c r="D557" i="8"/>
  <c r="D558" i="8"/>
  <c r="D559" i="8"/>
  <c r="D561" i="8"/>
  <c r="D562" i="8"/>
  <c r="D563" i="8"/>
  <c r="D566" i="8"/>
  <c r="D567" i="8"/>
  <c r="D570" i="8"/>
  <c r="D571" i="8"/>
  <c r="D573" i="8"/>
  <c r="D574" i="8"/>
  <c r="C575" i="8"/>
  <c r="D576" i="8"/>
  <c r="D577" i="8"/>
  <c r="D578" i="8"/>
  <c r="D580" i="8"/>
  <c r="D581" i="8"/>
  <c r="D582" i="8"/>
  <c r="C583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C615" i="8"/>
  <c r="D615" i="8"/>
  <c r="D616" i="8"/>
  <c r="D618" i="8"/>
  <c r="D619" i="8"/>
  <c r="D620" i="8"/>
  <c r="D622" i="8"/>
  <c r="C623" i="8"/>
  <c r="D623" i="8"/>
  <c r="D626" i="8"/>
  <c r="D627" i="8"/>
  <c r="D629" i="8"/>
  <c r="D630" i="8"/>
  <c r="D631" i="8"/>
  <c r="C632" i="8"/>
  <c r="D632" i="8"/>
  <c r="D634" i="8"/>
  <c r="D636" i="8"/>
  <c r="D637" i="8"/>
  <c r="D638" i="8"/>
  <c r="D640" i="8"/>
  <c r="D641" i="8"/>
  <c r="D642" i="8"/>
  <c r="D644" i="8"/>
  <c r="D646" i="8"/>
  <c r="D648" i="8"/>
  <c r="D650" i="8"/>
  <c r="C651" i="8"/>
  <c r="D651" i="8"/>
  <c r="D652" i="8"/>
  <c r="D654" i="8"/>
  <c r="D655" i="8"/>
  <c r="D656" i="8"/>
  <c r="C658" i="8"/>
  <c r="D658" i="8"/>
  <c r="C659" i="8"/>
  <c r="D659" i="8"/>
  <c r="D660" i="8"/>
  <c r="D661" i="8"/>
  <c r="D662" i="8"/>
  <c r="D663" i="8"/>
  <c r="D664" i="8"/>
  <c r="D665" i="8"/>
  <c r="D666" i="8"/>
  <c r="C667" i="8"/>
  <c r="D667" i="8"/>
  <c r="D668" i="8"/>
  <c r="D670" i="8"/>
  <c r="D671" i="8"/>
  <c r="D672" i="8"/>
  <c r="D674" i="8"/>
  <c r="D675" i="8"/>
  <c r="D676" i="8"/>
  <c r="D678" i="8"/>
  <c r="D679" i="8"/>
  <c r="D680" i="8"/>
  <c r="D682" i="8"/>
  <c r="D683" i="8"/>
  <c r="D684" i="8"/>
  <c r="D686" i="8"/>
  <c r="C687" i="8"/>
  <c r="D687" i="8"/>
  <c r="D688" i="8"/>
  <c r="D690" i="8"/>
  <c r="D691" i="8"/>
  <c r="D692" i="8"/>
  <c r="D694" i="8"/>
  <c r="D695" i="8"/>
  <c r="D696" i="8"/>
  <c r="D698" i="8"/>
  <c r="D699" i="8"/>
  <c r="D700" i="8"/>
  <c r="D702" i="8"/>
  <c r="C703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C720" i="8"/>
  <c r="D720" i="8"/>
  <c r="D721" i="8"/>
  <c r="D722" i="8"/>
  <c r="D723" i="8"/>
  <c r="D724" i="8"/>
  <c r="D725" i="8"/>
  <c r="D726" i="8"/>
  <c r="C727" i="8"/>
  <c r="D727" i="8"/>
  <c r="D728" i="8"/>
  <c r="D730" i="8"/>
  <c r="D731" i="8"/>
  <c r="D732" i="8"/>
  <c r="D734" i="8"/>
  <c r="D735" i="8"/>
  <c r="D736" i="8"/>
  <c r="D738" i="8"/>
  <c r="C739" i="8"/>
  <c r="D739" i="8"/>
  <c r="D740" i="8"/>
  <c r="D742" i="8"/>
  <c r="D743" i="8"/>
  <c r="D744" i="8"/>
  <c r="D746" i="8"/>
  <c r="D747" i="8"/>
  <c r="D748" i="8"/>
  <c r="D750" i="8"/>
  <c r="D751" i="8"/>
  <c r="D752" i="8"/>
  <c r="D754" i="8"/>
  <c r="C755" i="8"/>
  <c r="D755" i="8"/>
  <c r="D756" i="8"/>
  <c r="D757" i="8"/>
  <c r="D758" i="8"/>
  <c r="D759" i="8"/>
  <c r="D760" i="8"/>
  <c r="D761" i="8"/>
  <c r="D762" i="8"/>
  <c r="C763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C775" i="8"/>
  <c r="D775" i="8"/>
  <c r="D776" i="8"/>
  <c r="D778" i="8"/>
  <c r="D779" i="8"/>
  <c r="D780" i="8"/>
  <c r="D782" i="8"/>
  <c r="D783" i="8"/>
  <c r="D784" i="8"/>
  <c r="D786" i="8"/>
  <c r="D787" i="8"/>
  <c r="D788" i="8"/>
  <c r="D790" i="8"/>
  <c r="C791" i="8"/>
  <c r="D791" i="8"/>
  <c r="D792" i="8"/>
  <c r="D794" i="8"/>
  <c r="D795" i="8"/>
  <c r="D796" i="8"/>
  <c r="D798" i="8"/>
  <c r="C799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C819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C874" i="8"/>
  <c r="D874" i="8"/>
  <c r="D875" i="8"/>
  <c r="D876" i="8"/>
  <c r="D878" i="8"/>
  <c r="D879" i="8"/>
  <c r="D880" i="8"/>
  <c r="D882" i="8"/>
  <c r="D883" i="8"/>
  <c r="D884" i="8"/>
  <c r="D886" i="8"/>
  <c r="D887" i="8"/>
  <c r="D888" i="8"/>
  <c r="D890" i="8"/>
  <c r="D891" i="8"/>
  <c r="D892" i="8"/>
  <c r="D894" i="8"/>
  <c r="D895" i="8"/>
  <c r="D896" i="8"/>
  <c r="D898" i="8"/>
  <c r="D899" i="8"/>
  <c r="D900" i="8"/>
  <c r="D902" i="8"/>
  <c r="D903" i="8"/>
  <c r="D904" i="8"/>
  <c r="D906" i="8"/>
  <c r="D907" i="8"/>
  <c r="D908" i="8"/>
  <c r="D910" i="8"/>
  <c r="D911" i="8"/>
  <c r="D912" i="8"/>
  <c r="D914" i="8"/>
  <c r="D915" i="8"/>
  <c r="C916" i="8"/>
  <c r="D916" i="8"/>
  <c r="D918" i="8"/>
  <c r="D919" i="8"/>
  <c r="D920" i="8"/>
  <c r="D922" i="8"/>
  <c r="D923" i="8"/>
  <c r="D924" i="8"/>
  <c r="D926" i="8"/>
  <c r="D927" i="8"/>
  <c r="D928" i="8"/>
  <c r="D930" i="8"/>
  <c r="D931" i="8"/>
  <c r="C932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C980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C996" i="8"/>
  <c r="D996" i="8"/>
  <c r="D998" i="8"/>
  <c r="D999" i="8"/>
  <c r="D1000" i="8"/>
  <c r="E2" i="8"/>
  <c r="G2" i="8" s="1"/>
  <c r="D560" i="8" l="1"/>
  <c r="D556" i="8"/>
  <c r="D552" i="8"/>
  <c r="D548" i="8"/>
  <c r="D544" i="8"/>
  <c r="D540" i="8"/>
  <c r="D488" i="8"/>
  <c r="D484" i="8"/>
  <c r="D480" i="8"/>
  <c r="D456" i="8"/>
  <c r="D452" i="8"/>
  <c r="D448" i="8"/>
  <c r="D444" i="8"/>
  <c r="D440" i="8"/>
  <c r="D436" i="8"/>
  <c r="D432" i="8"/>
  <c r="D428" i="8"/>
  <c r="D424" i="8"/>
  <c r="D408" i="8"/>
  <c r="D404" i="8"/>
  <c r="D400" i="8"/>
  <c r="D396" i="8"/>
  <c r="D392" i="8"/>
  <c r="D388" i="8"/>
  <c r="D384" i="8"/>
  <c r="D380" i="8"/>
  <c r="D376" i="8"/>
  <c r="D372" i="8"/>
  <c r="D352" i="8"/>
  <c r="D348" i="8"/>
  <c r="D344" i="8"/>
  <c r="D340" i="8"/>
  <c r="D336" i="8"/>
  <c r="D332" i="8"/>
  <c r="D300" i="8"/>
  <c r="D296" i="8"/>
  <c r="D292" i="8"/>
  <c r="D288" i="8"/>
  <c r="D284" i="8"/>
  <c r="D280" i="8"/>
  <c r="D276" i="8"/>
  <c r="D272" i="8"/>
  <c r="D252" i="8"/>
  <c r="D248" i="8"/>
  <c r="D244" i="8"/>
  <c r="D240" i="8"/>
  <c r="D236" i="8"/>
  <c r="D232" i="8"/>
  <c r="D228" i="8"/>
  <c r="D224" i="8"/>
  <c r="D220" i="8"/>
  <c r="D216" i="8"/>
  <c r="D212" i="8"/>
  <c r="D208" i="8"/>
  <c r="D204" i="8"/>
  <c r="D200" i="8"/>
  <c r="D196" i="8"/>
  <c r="D160" i="8"/>
  <c r="D156" i="8"/>
  <c r="D152" i="8"/>
  <c r="D148" i="8"/>
  <c r="D144" i="8"/>
  <c r="D140" i="8"/>
  <c r="D136" i="8"/>
  <c r="D132" i="8"/>
  <c r="D128" i="8"/>
  <c r="D124" i="8"/>
  <c r="D120" i="8"/>
  <c r="D116" i="8"/>
  <c r="D112" i="8"/>
  <c r="D108" i="8"/>
  <c r="D104" i="8"/>
  <c r="D100" i="8"/>
  <c r="D96" i="8"/>
  <c r="D92" i="8"/>
  <c r="D60" i="8"/>
  <c r="D56" i="8"/>
  <c r="D52" i="8"/>
  <c r="D48" i="8"/>
  <c r="D44" i="8"/>
  <c r="D40" i="8"/>
  <c r="D36" i="8"/>
  <c r="D32" i="8"/>
  <c r="D28" i="8"/>
  <c r="D24" i="8"/>
  <c r="D2" i="8"/>
  <c r="C2" i="8"/>
  <c r="K2" i="8"/>
  <c r="J2" i="8"/>
  <c r="A2" i="8" l="1"/>
  <c r="K37" i="10" l="1"/>
  <c r="L37" i="10" s="1"/>
  <c r="O36" i="10" s="1"/>
  <c r="C1" i="10" l="1"/>
  <c r="B4" i="10" l="1"/>
  <c r="B11" i="10" s="1"/>
  <c r="B18" i="10" s="1"/>
  <c r="B25" i="10" s="1"/>
  <c r="B32" i="10" s="1"/>
  <c r="G32" i="10" s="1"/>
  <c r="I18" i="10" l="1"/>
  <c r="I20" i="10" s="1" a="1"/>
  <c r="I20" i="10" s="1"/>
  <c r="G37" i="10" a="1"/>
  <c r="G37" i="10" s="1"/>
  <c r="G35" i="10" a="1"/>
  <c r="G35" i="10" s="1"/>
  <c r="G33" i="10" a="1"/>
  <c r="G33" i="10" s="1"/>
  <c r="G36" i="10" a="1"/>
  <c r="G36" i="10" s="1"/>
  <c r="G34" i="10" a="1"/>
  <c r="G34" i="10" s="1"/>
  <c r="I4" i="10"/>
  <c r="H11" i="10"/>
  <c r="G4" i="10"/>
  <c r="H18" i="10"/>
  <c r="F11" i="10"/>
  <c r="F12" i="10" s="1" a="1"/>
  <c r="F12" i="10" s="1"/>
  <c r="H25" i="10"/>
  <c r="E11" i="10"/>
  <c r="G25" i="10"/>
  <c r="F25" i="10"/>
  <c r="F4" i="10"/>
  <c r="D4" i="10"/>
  <c r="D7" i="10" s="1"/>
  <c r="G11" i="10"/>
  <c r="G13" i="10" s="1" a="1"/>
  <c r="G13" i="10" s="1"/>
  <c r="I25" i="10"/>
  <c r="G18" i="10"/>
  <c r="G20" i="10" s="1" a="1"/>
  <c r="G20" i="10" s="1"/>
  <c r="I32" i="10"/>
  <c r="F18" i="10"/>
  <c r="H32" i="10"/>
  <c r="D11" i="10"/>
  <c r="H4" i="10"/>
  <c r="C4" i="10"/>
  <c r="D18" i="10"/>
  <c r="F32" i="10"/>
  <c r="D25" i="10"/>
  <c r="E4" i="10"/>
  <c r="C25" i="10"/>
  <c r="C32" i="10"/>
  <c r="C11" i="10"/>
  <c r="E25" i="10"/>
  <c r="C18" i="10"/>
  <c r="E32" i="10"/>
  <c r="I11" i="10"/>
  <c r="D32" i="10"/>
  <c r="E18" i="10"/>
  <c r="I19" i="10" l="1" a="1"/>
  <c r="I19" i="10" s="1"/>
  <c r="H21" i="10" a="1"/>
  <c r="H21" i="10" s="1"/>
  <c r="H22" i="10" a="1"/>
  <c r="H22" i="10" s="1"/>
  <c r="H23" i="10" a="1"/>
  <c r="H23" i="10" s="1"/>
  <c r="I37" i="10" a="1"/>
  <c r="I37" i="10" s="1"/>
  <c r="I35" i="10" a="1"/>
  <c r="I35" i="10" s="1"/>
  <c r="I33" i="10" a="1"/>
  <c r="I33" i="10" s="1"/>
  <c r="I36" i="10" a="1"/>
  <c r="I36" i="10" s="1"/>
  <c r="I34" i="10" a="1"/>
  <c r="I34" i="10" s="1"/>
  <c r="E37" i="10" a="1"/>
  <c r="E37" i="10" s="1"/>
  <c r="E35" i="10" a="1"/>
  <c r="E35" i="10" s="1"/>
  <c r="E33" i="10" a="1"/>
  <c r="E33" i="10" s="1"/>
  <c r="E36" i="10" a="1"/>
  <c r="E36" i="10" s="1"/>
  <c r="E34" i="10" a="1"/>
  <c r="E34" i="10" s="1"/>
  <c r="C37" i="10" a="1"/>
  <c r="C37" i="10" s="1"/>
  <c r="C35" i="10" a="1"/>
  <c r="C35" i="10" s="1"/>
  <c r="C33" i="10" a="1"/>
  <c r="C33" i="10" s="1"/>
  <c r="C36" i="10" a="1"/>
  <c r="C36" i="10" s="1"/>
  <c r="C34" i="10" a="1"/>
  <c r="C34" i="10" s="1"/>
  <c r="F36" i="10" a="1"/>
  <c r="F36" i="10" s="1"/>
  <c r="F34" i="10" a="1"/>
  <c r="F34" i="10" s="1"/>
  <c r="F37" i="10" a="1"/>
  <c r="F37" i="10" s="1"/>
  <c r="F35" i="10" a="1"/>
  <c r="F35" i="10" s="1"/>
  <c r="F33" i="10" a="1"/>
  <c r="F33" i="10" s="1"/>
  <c r="H36" i="10" a="1"/>
  <c r="H36" i="10" s="1"/>
  <c r="H34" i="10" a="1"/>
  <c r="H34" i="10" s="1"/>
  <c r="H37" i="10" a="1"/>
  <c r="H37" i="10" s="1"/>
  <c r="H35" i="10" a="1"/>
  <c r="H35" i="10" s="1"/>
  <c r="H33" i="10" a="1"/>
  <c r="H33" i="10" s="1"/>
  <c r="D36" i="10" a="1"/>
  <c r="D36" i="10" s="1"/>
  <c r="D34" i="10" a="1"/>
  <c r="D34" i="10" s="1"/>
  <c r="D37" i="10" a="1"/>
  <c r="D37" i="10" s="1"/>
  <c r="D35" i="10" a="1"/>
  <c r="D35" i="10" s="1"/>
  <c r="D33" i="10" a="1"/>
  <c r="D33" i="10" s="1"/>
  <c r="E28" i="10" a="1"/>
  <c r="E28" i="10" s="1"/>
  <c r="E30" i="10" a="1"/>
  <c r="E30" i="10" s="1"/>
  <c r="E26" i="10" a="1"/>
  <c r="E26" i="10" s="1"/>
  <c r="E29" i="10" a="1"/>
  <c r="E29" i="10" s="1"/>
  <c r="E27" i="10" a="1"/>
  <c r="E27" i="10" s="1"/>
  <c r="D29" i="10" a="1"/>
  <c r="D29" i="10" s="1"/>
  <c r="D27" i="10" a="1"/>
  <c r="D27" i="10" s="1"/>
  <c r="D30" i="10" a="1"/>
  <c r="D30" i="10" s="1"/>
  <c r="D28" i="10" a="1"/>
  <c r="D28" i="10" s="1"/>
  <c r="D26" i="10" a="1"/>
  <c r="D26" i="10" s="1"/>
  <c r="G26" i="10" a="1"/>
  <c r="G26" i="10" s="1"/>
  <c r="G30" i="10" a="1"/>
  <c r="G30" i="10" s="1"/>
  <c r="G28" i="10" a="1"/>
  <c r="G28" i="10" s="1"/>
  <c r="G29" i="10" a="1"/>
  <c r="G29" i="10" s="1"/>
  <c r="G27" i="10" a="1"/>
  <c r="G27" i="10" s="1"/>
  <c r="C26" i="10" a="1"/>
  <c r="C26" i="10" s="1"/>
  <c r="C30" i="10" a="1"/>
  <c r="C30" i="10" s="1"/>
  <c r="C28" i="10" a="1"/>
  <c r="C28" i="10" s="1"/>
  <c r="C29" i="10" a="1"/>
  <c r="C29" i="10" s="1"/>
  <c r="C27" i="10" a="1"/>
  <c r="C27" i="10" s="1"/>
  <c r="I30" i="10" a="1"/>
  <c r="I30" i="10" s="1"/>
  <c r="I28" i="10" a="1"/>
  <c r="I28" i="10" s="1"/>
  <c r="I26" i="10" a="1"/>
  <c r="I26" i="10" s="1"/>
  <c r="I29" i="10" a="1"/>
  <c r="I29" i="10" s="1"/>
  <c r="I27" i="10" a="1"/>
  <c r="I27" i="10" s="1"/>
  <c r="H27" i="10" a="1"/>
  <c r="H27" i="10" s="1"/>
  <c r="H29" i="10" a="1"/>
  <c r="H29" i="10" s="1"/>
  <c r="H30" i="10" a="1"/>
  <c r="H30" i="10" s="1"/>
  <c r="H28" i="10" a="1"/>
  <c r="H28" i="10" s="1"/>
  <c r="H26" i="10" a="1"/>
  <c r="H26" i="10" s="1"/>
  <c r="F29" i="10" a="1"/>
  <c r="F29" i="10" s="1"/>
  <c r="F27" i="10" a="1"/>
  <c r="F27" i="10" s="1"/>
  <c r="F30" i="10" a="1"/>
  <c r="F30" i="10" s="1"/>
  <c r="F28" i="10" a="1"/>
  <c r="F28" i="10" s="1"/>
  <c r="F26" i="10" a="1"/>
  <c r="F26" i="10" s="1"/>
  <c r="E23" i="10" a="1"/>
  <c r="E23" i="10" s="1"/>
  <c r="E21" i="10" a="1"/>
  <c r="E21" i="10" s="1"/>
  <c r="E19" i="10" a="1"/>
  <c r="E19" i="10" s="1"/>
  <c r="E22" i="10" a="1"/>
  <c r="E22" i="10" s="1"/>
  <c r="E20" i="10" a="1"/>
  <c r="E20" i="10" s="1"/>
  <c r="C23" i="10" a="1"/>
  <c r="C23" i="10" s="1"/>
  <c r="C21" i="10" a="1"/>
  <c r="C21" i="10" s="1"/>
  <c r="C19" i="10" a="1"/>
  <c r="C19" i="10" s="1"/>
  <c r="C22" i="10" a="1"/>
  <c r="C22" i="10" s="1"/>
  <c r="C20" i="10" a="1"/>
  <c r="C20" i="10" s="1"/>
  <c r="D22" i="10" a="1"/>
  <c r="D22" i="10" s="1"/>
  <c r="D20" i="10" a="1"/>
  <c r="D20" i="10" s="1"/>
  <c r="D23" i="10" a="1"/>
  <c r="D23" i="10" s="1"/>
  <c r="D21" i="10" a="1"/>
  <c r="D21" i="10" s="1"/>
  <c r="D19" i="10" a="1"/>
  <c r="D19" i="10" s="1"/>
  <c r="I23" i="10" a="1"/>
  <c r="I23" i="10" s="1"/>
  <c r="I21" i="10" a="1"/>
  <c r="I21" i="10" s="1"/>
  <c r="I22" i="10" a="1"/>
  <c r="I22" i="10" s="1"/>
  <c r="H20" i="10" a="1"/>
  <c r="H20" i="10" s="1"/>
  <c r="H19" i="10" a="1"/>
  <c r="H19" i="10" s="1"/>
  <c r="G23" i="10" a="1"/>
  <c r="G23" i="10" s="1"/>
  <c r="G21" i="10" a="1"/>
  <c r="G21" i="10" s="1"/>
  <c r="G19" i="10" a="1"/>
  <c r="G19" i="10" s="1"/>
  <c r="G22" i="10" a="1"/>
  <c r="G22" i="10" s="1"/>
  <c r="F22" i="10" a="1"/>
  <c r="F22" i="10" s="1"/>
  <c r="F20" i="10" a="1"/>
  <c r="F20" i="10" s="1"/>
  <c r="F23" i="10" a="1"/>
  <c r="F23" i="10" s="1"/>
  <c r="F21" i="10" a="1"/>
  <c r="F21" i="10" s="1"/>
  <c r="F19" i="10" a="1"/>
  <c r="F19" i="10" s="1"/>
  <c r="G14" i="10" a="1"/>
  <c r="G14" i="10" s="1"/>
  <c r="G16" i="10" a="1"/>
  <c r="G16" i="10" s="1"/>
  <c r="G12" i="10" a="1"/>
  <c r="G12" i="10" s="1"/>
  <c r="G15" i="10" a="1"/>
  <c r="G15" i="10" s="1"/>
  <c r="F13" i="10" a="1"/>
  <c r="F13" i="10" s="1"/>
  <c r="F15" i="10" a="1"/>
  <c r="F15" i="10" s="1"/>
  <c r="F16" i="10" a="1"/>
  <c r="F16" i="10" s="1"/>
  <c r="F14" i="10" a="1"/>
  <c r="F14" i="10" s="1"/>
  <c r="I12" i="10" a="1"/>
  <c r="I12" i="10" s="1"/>
  <c r="I16" i="10" a="1"/>
  <c r="I16" i="10" s="1"/>
  <c r="I14" i="10" a="1"/>
  <c r="I14" i="10" s="1"/>
  <c r="I15" i="10" a="1"/>
  <c r="I15" i="10" s="1"/>
  <c r="I13" i="10" a="1"/>
  <c r="I13" i="10" s="1"/>
  <c r="C14" i="10" a="1"/>
  <c r="C14" i="10" s="1"/>
  <c r="C16" i="10" a="1"/>
  <c r="C16" i="10" s="1"/>
  <c r="C12" i="10" a="1"/>
  <c r="C12" i="10" s="1"/>
  <c r="C15" i="10" a="1"/>
  <c r="C15" i="10" s="1"/>
  <c r="C13" i="10" a="1"/>
  <c r="C13" i="10" s="1"/>
  <c r="D15" i="10" a="1"/>
  <c r="D15" i="10" s="1"/>
  <c r="D13" i="10" a="1"/>
  <c r="D13" i="10" s="1"/>
  <c r="D16" i="10" a="1"/>
  <c r="D16" i="10" s="1"/>
  <c r="D14" i="10" a="1"/>
  <c r="D14" i="10" s="1"/>
  <c r="D12" i="10" a="1"/>
  <c r="D12" i="10" s="1"/>
  <c r="E12" i="10" a="1"/>
  <c r="E12" i="10" s="1"/>
  <c r="E16" i="10" a="1"/>
  <c r="E16" i="10" s="1"/>
  <c r="E14" i="10" a="1"/>
  <c r="E14" i="10" s="1"/>
  <c r="E15" i="10" a="1"/>
  <c r="E15" i="10" s="1"/>
  <c r="E13" i="10" a="1"/>
  <c r="E13" i="10" s="1"/>
  <c r="H15" i="10" a="1"/>
  <c r="H15" i="10" s="1"/>
  <c r="H13" i="10" a="1"/>
  <c r="H13" i="10" s="1"/>
  <c r="H16" i="10" a="1"/>
  <c r="H16" i="10" s="1"/>
  <c r="H14" i="10" a="1"/>
  <c r="H14" i="10" s="1"/>
  <c r="H12" i="10" a="1"/>
  <c r="H12" i="10" s="1"/>
  <c r="E5" i="10" a="1"/>
  <c r="E5" i="10" s="1"/>
  <c r="E6" i="10" a="1"/>
  <c r="E6" i="10" s="1"/>
  <c r="E7" i="10" a="1"/>
  <c r="E7" i="10" s="1"/>
  <c r="E8" i="10" a="1"/>
  <c r="E8" i="10" s="1"/>
  <c r="E9" i="10" a="1"/>
  <c r="E9" i="10" s="1"/>
  <c r="I5" i="10" a="1"/>
  <c r="I5" i="10" s="1"/>
  <c r="I6" i="10" a="1"/>
  <c r="I6" i="10" s="1"/>
  <c r="I7" i="10" a="1"/>
  <c r="I7" i="10" s="1"/>
  <c r="I8" i="10" a="1"/>
  <c r="I8" i="10" s="1"/>
  <c r="I9" i="10" a="1"/>
  <c r="I9" i="10" s="1"/>
  <c r="F5" i="10" a="1"/>
  <c r="F5" i="10" s="1"/>
  <c r="F6" i="10" a="1"/>
  <c r="F6" i="10" s="1"/>
  <c r="F7" i="10" a="1"/>
  <c r="F7" i="10" s="1"/>
  <c r="F8" i="10" a="1"/>
  <c r="F8" i="10" s="1"/>
  <c r="F9" i="10" a="1"/>
  <c r="F9" i="10" s="1"/>
  <c r="G5" i="10" a="1"/>
  <c r="G5" i="10" s="1"/>
  <c r="G6" i="10" a="1"/>
  <c r="G6" i="10" s="1"/>
  <c r="G7" i="10" a="1"/>
  <c r="G7" i="10" s="1"/>
  <c r="G8" i="10" a="1"/>
  <c r="G8" i="10" s="1"/>
  <c r="G9" i="10" a="1"/>
  <c r="G9" i="10" s="1"/>
  <c r="H5" i="10" a="1"/>
  <c r="H5" i="10" s="1"/>
  <c r="H6" i="10" a="1"/>
  <c r="H6" i="10" s="1"/>
  <c r="H7" i="10" a="1"/>
  <c r="H7" i="10" s="1"/>
  <c r="H8" i="10" a="1"/>
  <c r="H8" i="10" s="1"/>
  <c r="H9" i="10" a="1"/>
  <c r="H9" i="10" s="1"/>
  <c r="D5" i="10" a="1"/>
  <c r="D5" i="10" s="1"/>
  <c r="D6" i="10" a="1"/>
  <c r="D6" i="10" s="1"/>
  <c r="D8" i="10" a="1"/>
  <c r="D8" i="10" s="1"/>
  <c r="D9" i="10" a="1"/>
  <c r="D9" i="10" s="1"/>
  <c r="C8" i="10" a="1"/>
  <c r="C8" i="10" s="1"/>
  <c r="C9" i="10" a="1"/>
  <c r="C9" i="10" s="1"/>
  <c r="C7" i="10" a="1"/>
  <c r="C7" i="10" s="1"/>
  <c r="C5" i="10" a="1"/>
  <c r="C5" i="10" s="1"/>
  <c r="C6" i="10" a="1"/>
  <c r="C6" i="10" s="1"/>
</calcChain>
</file>

<file path=xl/comments1.xml><?xml version="1.0" encoding="utf-8"?>
<comments xmlns="http://schemas.openxmlformats.org/spreadsheetml/2006/main">
  <authors>
    <author>Owner</author>
  </authors>
  <commentList>
    <comment ref="C5" authorId="0">
      <text>
        <r>
          <rPr>
            <sz val="9"/>
            <color indexed="81"/>
            <rFont val="Tahoma"/>
            <family val="2"/>
          </rPr>
          <t>1. Masako Mari
2. Trina Than
3. Elza Englund</t>
        </r>
      </text>
    </comment>
    <comment ref="C6" authorId="0">
      <text>
        <r>
          <rPr>
            <sz val="9"/>
            <color indexed="81"/>
            <rFont val="Tahoma"/>
            <family val="2"/>
          </rPr>
          <t>1. Meggan Mcgillis
2. Rossana Reinecke</t>
        </r>
      </text>
    </comment>
    <comment ref="I6" authorId="0">
      <text>
        <r>
          <rPr>
            <sz val="9"/>
            <color indexed="81"/>
            <rFont val="Tahoma"/>
            <family val="2"/>
          </rPr>
          <t>1. Mohammed Mason
2. Lajuana Ledezma</t>
        </r>
      </text>
    </comment>
    <comment ref="G9" authorId="0">
      <text>
        <r>
          <rPr>
            <sz val="9"/>
            <color indexed="81"/>
            <rFont val="Tahoma"/>
            <family val="2"/>
          </rPr>
          <t>1. Nicky Novoa
2. Cherrie Chatterton</t>
        </r>
      </text>
    </comment>
    <comment ref="I9" authorId="0">
      <text>
        <r>
          <rPr>
            <sz val="9"/>
            <color indexed="81"/>
            <rFont val="Tahoma"/>
            <family val="2"/>
          </rPr>
          <t>1. Meaghan Maeda
2. Mckinley Mcmullen</t>
        </r>
      </text>
    </comment>
    <comment ref="D13" authorId="0">
      <text>
        <r>
          <rPr>
            <sz val="9"/>
            <color indexed="81"/>
            <rFont val="Tahoma"/>
            <family val="2"/>
          </rPr>
          <t>1. Toshiko Toews
2. Misty Monzo</t>
        </r>
      </text>
    </comment>
    <comment ref="H14" authorId="0">
      <text>
        <r>
          <rPr>
            <sz val="9"/>
            <color indexed="81"/>
            <rFont val="Tahoma"/>
            <family val="2"/>
          </rPr>
          <t>1. Lakeshia Lemarr
2. Staci Scotti</t>
        </r>
      </text>
    </comment>
    <comment ref="G15" authorId="0">
      <text>
        <r>
          <rPr>
            <sz val="9"/>
            <color indexed="81"/>
            <rFont val="Tahoma"/>
            <family val="2"/>
          </rPr>
          <t>1. Gabriella Gruber
2. Vertie Vest</t>
        </r>
      </text>
    </comment>
    <comment ref="D16" authorId="0">
      <text>
        <r>
          <rPr>
            <sz val="9"/>
            <color indexed="81"/>
            <rFont val="Tahoma"/>
            <family val="2"/>
          </rPr>
          <t>1. Jasmine Jandreau
2. Anh Atha</t>
        </r>
      </text>
    </comment>
    <comment ref="E16" authorId="0">
      <text>
        <r>
          <rPr>
            <sz val="9"/>
            <color indexed="81"/>
            <rFont val="Tahoma"/>
            <family val="2"/>
          </rPr>
          <t>1. Eryn Eastland
2. Sina Sabia</t>
        </r>
      </text>
    </comment>
    <comment ref="F16" authorId="0">
      <text>
        <r>
          <rPr>
            <sz val="9"/>
            <color indexed="81"/>
            <rFont val="Tahoma"/>
            <family val="2"/>
          </rPr>
          <t>1. Maragaret Manville
2. Randy Riendeau
3. Romaine Raber
4. Linnea Lazos
5. Alene Applin</t>
        </r>
      </text>
    </comment>
    <comment ref="D19" authorId="0">
      <text>
        <r>
          <rPr>
            <sz val="9"/>
            <color indexed="81"/>
            <rFont val="Tahoma"/>
            <family val="2"/>
          </rPr>
          <t>1. Mora Moncada
2. Mittie Majewski</t>
        </r>
      </text>
    </comment>
    <comment ref="E19" authorId="0">
      <text>
        <r>
          <rPr>
            <sz val="9"/>
            <color indexed="81"/>
            <rFont val="Tahoma"/>
            <family val="2"/>
          </rPr>
          <t>1. Mercedez Magnani
2. Elmo Elie</t>
        </r>
      </text>
    </comment>
    <comment ref="C20" authorId="0">
      <text>
        <r>
          <rPr>
            <sz val="9"/>
            <color indexed="81"/>
            <rFont val="Tahoma"/>
            <family val="2"/>
          </rPr>
          <t>1. Dexter Defibaugh
2. Gwen Genna</t>
        </r>
      </text>
    </comment>
    <comment ref="C22" authorId="0">
      <text>
        <r>
          <rPr>
            <sz val="9"/>
            <color indexed="81"/>
            <rFont val="Tahoma"/>
            <family val="2"/>
          </rPr>
          <t>1. Keva Kamm
2. Malisa Mastroianni</t>
        </r>
      </text>
    </comment>
    <comment ref="I22" authorId="0">
      <text>
        <r>
          <rPr>
            <sz val="9"/>
            <color indexed="81"/>
            <rFont val="Tahoma"/>
            <family val="2"/>
          </rPr>
          <t>1. Nicky Novoa
2. Carson Clary</t>
        </r>
      </text>
    </comment>
    <comment ref="E23" authorId="0">
      <text>
        <r>
          <rPr>
            <sz val="9"/>
            <color indexed="81"/>
            <rFont val="Tahoma"/>
            <family val="2"/>
          </rPr>
          <t>1. Britney Bachelder
2. Harrison Holiman</t>
        </r>
      </text>
    </comment>
    <comment ref="G30" authorId="0">
      <text>
        <r>
          <rPr>
            <sz val="9"/>
            <color indexed="81"/>
            <rFont val="Tahoma"/>
            <family val="2"/>
          </rPr>
          <t>1. Barton Bravo
2. Kami Kane</t>
        </r>
      </text>
    </comment>
    <comment ref="H30" authorId="0">
      <text>
        <r>
          <rPr>
            <sz val="9"/>
            <color indexed="81"/>
            <rFont val="Tahoma"/>
            <family val="2"/>
          </rPr>
          <t>1. Arlena Augsburger
2. Lakendra Lares</t>
        </r>
      </text>
    </comment>
    <comment ref="G34" authorId="0">
      <text>
        <r>
          <rPr>
            <sz val="9"/>
            <color indexed="81"/>
            <rFont val="Tahoma"/>
            <family val="2"/>
          </rPr>
          <t>1. Shanna Streit
2. Beverlee Benway</t>
        </r>
      </text>
    </comment>
    <comment ref="E35" authorId="0">
      <text>
        <r>
          <rPr>
            <sz val="9"/>
            <color indexed="81"/>
            <rFont val="Tahoma"/>
            <family val="2"/>
          </rPr>
          <t>1. Trina Than
2. Jarrod Jeans</t>
        </r>
      </text>
    </comment>
    <comment ref="G36" authorId="0">
      <text>
        <r>
          <rPr>
            <sz val="9"/>
            <color indexed="81"/>
            <rFont val="Tahoma"/>
            <family val="2"/>
          </rPr>
          <t>1. Fabiola Ferebee
2. Nicky Novoa</t>
        </r>
      </text>
    </comment>
    <comment ref="E37" authorId="0">
      <text>
        <r>
          <rPr>
            <sz val="9"/>
            <color indexed="81"/>
            <rFont val="Tahoma"/>
            <family val="2"/>
          </rPr>
          <t>1. Ellan Engles
2. Barbera Boer
3. Melony Mckeown
4. Flo Frisk
5. Randy Riendeau</t>
        </r>
      </text>
    </comment>
  </commentList>
</comments>
</file>

<file path=xl/sharedStrings.xml><?xml version="1.0" encoding="utf-8"?>
<sst xmlns="http://schemas.openxmlformats.org/spreadsheetml/2006/main" count="4067" uniqueCount="240">
  <si>
    <t xml:space="preserve"> </t>
  </si>
  <si>
    <t>Date</t>
  </si>
  <si>
    <t>Wk</t>
  </si>
  <si>
    <t>New Year's Day</t>
  </si>
  <si>
    <t>Chinese New Year</t>
  </si>
  <si>
    <t>Good Friday</t>
  </si>
  <si>
    <t>Labour Day</t>
  </si>
  <si>
    <t>Vesak Day</t>
  </si>
  <si>
    <t>Hari Raya Puasa</t>
  </si>
  <si>
    <t>National Day</t>
  </si>
  <si>
    <t>Hari Raya Haji</t>
  </si>
  <si>
    <t>Deepavali</t>
  </si>
  <si>
    <t>Christmas Day</t>
  </si>
  <si>
    <t>Description</t>
  </si>
  <si>
    <t>Legend:</t>
  </si>
  <si>
    <t>Milagro Milliron</t>
  </si>
  <si>
    <t>Gwen Genna</t>
  </si>
  <si>
    <t>Kymberly Kelly</t>
  </si>
  <si>
    <t>Eddie Elias</t>
  </si>
  <si>
    <t>Norberto Narron</t>
  </si>
  <si>
    <t>Yasmin Younan</t>
  </si>
  <si>
    <t>Philip Plaisted</t>
  </si>
  <si>
    <t>Reanna Rana</t>
  </si>
  <si>
    <t>Serina Stansell</t>
  </si>
  <si>
    <t>Carolin Colletti</t>
  </si>
  <si>
    <t>Lynelle Litchfield</t>
  </si>
  <si>
    <t>Herman Hauptman</t>
  </si>
  <si>
    <t>Phyliss Pinion</t>
  </si>
  <si>
    <t>Myron Mccrystal</t>
  </si>
  <si>
    <t>Marnie Mayo</t>
  </si>
  <si>
    <t>Chelsea Clara</t>
  </si>
  <si>
    <t>Sol Schwarz</t>
  </si>
  <si>
    <t>Arlena Augsburger</t>
  </si>
  <si>
    <t>Rashida Reamer</t>
  </si>
  <si>
    <t>Bailey Bedwell</t>
  </si>
  <si>
    <t>Lakeshia Lemarr</t>
  </si>
  <si>
    <t>Trina Than</t>
  </si>
  <si>
    <t>Araceli Asuncion</t>
  </si>
  <si>
    <t>Lisbeth Laine</t>
  </si>
  <si>
    <t>Dusty Durkee</t>
  </si>
  <si>
    <t>Masako Mari</t>
  </si>
  <si>
    <t>Glenn Godbee</t>
  </si>
  <si>
    <t>Elliot Ellsworth</t>
  </si>
  <si>
    <t>Sherice Streeter</t>
  </si>
  <si>
    <t>Gabriella Gruber</t>
  </si>
  <si>
    <t>Keva Kamm</t>
  </si>
  <si>
    <t>Antwan Aoki</t>
  </si>
  <si>
    <t>Maragaret Manville</t>
  </si>
  <si>
    <t>Toshiko Toews</t>
  </si>
  <si>
    <t>Joel Jolicoeur</t>
  </si>
  <si>
    <t>Gerry Gangi</t>
  </si>
  <si>
    <t>Ashlea Abbe</t>
  </si>
  <si>
    <t>Rasheeda Rouse</t>
  </si>
  <si>
    <t>Chad Candler</t>
  </si>
  <si>
    <t>Geneva Gendron</t>
  </si>
  <si>
    <t>David Dandrea</t>
  </si>
  <si>
    <t>Kasha Kulp</t>
  </si>
  <si>
    <t>Randy Riendeau</t>
  </si>
  <si>
    <t>Delpha Dehn</t>
  </si>
  <si>
    <t>Neil Nadeau</t>
  </si>
  <si>
    <t>Laverne Luciano</t>
  </si>
  <si>
    <t>Romaine Raber</t>
  </si>
  <si>
    <t>Cory Carty</t>
  </si>
  <si>
    <t>Kemberly Kaster</t>
  </si>
  <si>
    <t>Deanna Drews</t>
  </si>
  <si>
    <t>Adele Allums</t>
  </si>
  <si>
    <t>Mora Moncada</t>
  </si>
  <si>
    <t>Tamiko Tobler</t>
  </si>
  <si>
    <t>Jasmine Jandreau</t>
  </si>
  <si>
    <t>Hosea Hosein</t>
  </si>
  <si>
    <t>Misty Monzo</t>
  </si>
  <si>
    <t>Robbi Ritter</t>
  </si>
  <si>
    <t>Margarite Modesto</t>
  </si>
  <si>
    <t>Clarinda Carrithers</t>
  </si>
  <si>
    <t>Cherrie Chatterton</t>
  </si>
  <si>
    <t>Sina Sabia</t>
  </si>
  <si>
    <t>Dexter Defibaugh</t>
  </si>
  <si>
    <t>Alaine Athens</t>
  </si>
  <si>
    <t>Beverlee Benway</t>
  </si>
  <si>
    <t>Loris Lacombe</t>
  </si>
  <si>
    <t>Latonia Luong</t>
  </si>
  <si>
    <t>Nicky Novoa</t>
  </si>
  <si>
    <t>Bertha Bahl</t>
  </si>
  <si>
    <t>Harrison Holiman</t>
  </si>
  <si>
    <t>Lavette Linnen</t>
  </si>
  <si>
    <t>Ellan Engles</t>
  </si>
  <si>
    <t>Ervin Edinger</t>
  </si>
  <si>
    <t>Rema Regina</t>
  </si>
  <si>
    <t>Sheryll Saucier</t>
  </si>
  <si>
    <t>Gwenda Griffie</t>
  </si>
  <si>
    <t>Leisa Lipsey</t>
  </si>
  <si>
    <t>Liliana Lucey</t>
  </si>
  <si>
    <t>Sharen Snipe</t>
  </si>
  <si>
    <t>Barton Bravo</t>
  </si>
  <si>
    <t>Soo Speelman</t>
  </si>
  <si>
    <t>Berry Beyers</t>
  </si>
  <si>
    <t>Jarrod Jeans</t>
  </si>
  <si>
    <t>Norris Nieman</t>
  </si>
  <si>
    <t>Katrice Koepsell</t>
  </si>
  <si>
    <t>Lakendra Lares</t>
  </si>
  <si>
    <t>Flo Frisk</t>
  </si>
  <si>
    <t>Jacqueline Justis</t>
  </si>
  <si>
    <t>Blondell Balderrama</t>
  </si>
  <si>
    <t>Kayleigh Kraker</t>
  </si>
  <si>
    <t>Manda Meadows</t>
  </si>
  <si>
    <t>Jami Jock</t>
  </si>
  <si>
    <t>Tesha Tiemann</t>
  </si>
  <si>
    <t>Terresa Traywick</t>
  </si>
  <si>
    <t>Aurea Amendola</t>
  </si>
  <si>
    <t>Aline Armistead</t>
  </si>
  <si>
    <t>Lavada Lepe</t>
  </si>
  <si>
    <t>Evelin Erhart</t>
  </si>
  <si>
    <t>Vertie Vest</t>
  </si>
  <si>
    <t>Krysta Knott</t>
  </si>
  <si>
    <t>Brandi Butner</t>
  </si>
  <si>
    <t>Deedra Doe</t>
  </si>
  <si>
    <t>Su Salvato</t>
  </si>
  <si>
    <t>Meaghan Maeda</t>
  </si>
  <si>
    <t>Kemberly Kulp</t>
  </si>
  <si>
    <t>Tricia Than</t>
  </si>
  <si>
    <t>Trinh Tavernier</t>
  </si>
  <si>
    <t>Barbera Boer</t>
  </si>
  <si>
    <t>Carson Clary</t>
  </si>
  <si>
    <t>Stephani Stotz</t>
  </si>
  <si>
    <t>Otto Ohler</t>
  </si>
  <si>
    <t>Alfonzo Arteaga</t>
  </si>
  <si>
    <t>Cedrick Comer</t>
  </si>
  <si>
    <t>Gaylord Geibel</t>
  </si>
  <si>
    <t>Rosella Rivera</t>
  </si>
  <si>
    <t>Effie Evatt</t>
  </si>
  <si>
    <t>Delbert Dosch</t>
  </si>
  <si>
    <t>Sheryl Strout</t>
  </si>
  <si>
    <t>Gertrud Griffey</t>
  </si>
  <si>
    <t>Erick Elwood</t>
  </si>
  <si>
    <t>Colby Creel</t>
  </si>
  <si>
    <t>Linnea Lazos</t>
  </si>
  <si>
    <t>Verena Venturini</t>
  </si>
  <si>
    <t>Dede Denmon</t>
  </si>
  <si>
    <t>Shay Sowders</t>
  </si>
  <si>
    <t>Mohammed Mason</t>
  </si>
  <si>
    <t>Wiley Wemple</t>
  </si>
  <si>
    <t>Constance Curtsinger</t>
  </si>
  <si>
    <t>Patrice Pulley</t>
  </si>
  <si>
    <t>Hsiu Hehn</t>
  </si>
  <si>
    <t>Theda Thao</t>
  </si>
  <si>
    <t>Eryn Eastland</t>
  </si>
  <si>
    <t>Alene Applin</t>
  </si>
  <si>
    <t>Mira Moyer</t>
  </si>
  <si>
    <t>Gia Golston</t>
  </si>
  <si>
    <t>Shanna Streit</t>
  </si>
  <si>
    <t>Marget Mason</t>
  </si>
  <si>
    <t>Wilmer Wicklund</t>
  </si>
  <si>
    <t>Marc Mcfaddin</t>
  </si>
  <si>
    <t>Mercedez Magnani</t>
  </si>
  <si>
    <t>Darlene Deck</t>
  </si>
  <si>
    <t>Kevin Krider</t>
  </si>
  <si>
    <t>Rasheeda Ruffino</t>
  </si>
  <si>
    <t>Cecilia Chilcott</t>
  </si>
  <si>
    <t>Tammera Tarkington</t>
  </si>
  <si>
    <t>Delphine Delatorre</t>
  </si>
  <si>
    <t>Meggan Mcgillis</t>
  </si>
  <si>
    <t>Terica Tokarski</t>
  </si>
  <si>
    <t>Karl Kroll</t>
  </si>
  <si>
    <t>Thora Tatman</t>
  </si>
  <si>
    <t>Rebeca Relyea</t>
  </si>
  <si>
    <t>Felice Freeman</t>
  </si>
  <si>
    <t>Tracey Torre</t>
  </si>
  <si>
    <t>Sherise Saur</t>
  </si>
  <si>
    <t>Mckinley Mcmullen</t>
  </si>
  <si>
    <t>Margarete Mole</t>
  </si>
  <si>
    <t>Francesca Fregoe</t>
  </si>
  <si>
    <t>Marilynn Maudlin</t>
  </si>
  <si>
    <t>Melda Macgillivray</t>
  </si>
  <si>
    <t>Haywood Henke</t>
  </si>
  <si>
    <t>Marya Marasco</t>
  </si>
  <si>
    <t>Audrie Alcaraz</t>
  </si>
  <si>
    <t>Jonelle Jolicoeur</t>
  </si>
  <si>
    <t>Rossana Reinecke</t>
  </si>
  <si>
    <t>Summer Secrest</t>
  </si>
  <si>
    <t>Anh Atha</t>
  </si>
  <si>
    <t>Carina Cavin</t>
  </si>
  <si>
    <t>Lajuana Ledezma</t>
  </si>
  <si>
    <t>Tawny Tsui</t>
  </si>
  <si>
    <t>Samira Solis</t>
  </si>
  <si>
    <t>Matilda Massie</t>
  </si>
  <si>
    <t>Jeni Julia</t>
  </si>
  <si>
    <t>Britney Bachelder</t>
  </si>
  <si>
    <t>Marilyn Mackiewicz</t>
  </si>
  <si>
    <t>Melony Mckeown</t>
  </si>
  <si>
    <t>Johnette Jo</t>
  </si>
  <si>
    <t>Malisa Mastroianni</t>
  </si>
  <si>
    <t>Lynette Linck</t>
  </si>
  <si>
    <t>Elmo Elie</t>
  </si>
  <si>
    <t>Arielle Ankney</t>
  </si>
  <si>
    <t>Edgardo Elsea</t>
  </si>
  <si>
    <t>Fabiola Ferebee</t>
  </si>
  <si>
    <t>Marcell Mickelsen</t>
  </si>
  <si>
    <t>Elza Englund</t>
  </si>
  <si>
    <t>Mittie Majewski</t>
  </si>
  <si>
    <t>Holly Housel</t>
  </si>
  <si>
    <t>Lula Linsley</t>
  </si>
  <si>
    <t>Phylicia Pasquariello</t>
  </si>
  <si>
    <t>Maya Murden</t>
  </si>
  <si>
    <t>Rayford Runk</t>
  </si>
  <si>
    <t>Staci Scotti</t>
  </si>
  <si>
    <t>Cedric Cowen</t>
  </si>
  <si>
    <t>Davina Days</t>
  </si>
  <si>
    <t>Karena Kobayashi</t>
  </si>
  <si>
    <t>Alexandra Adorno</t>
  </si>
  <si>
    <t>Augustus Askey</t>
  </si>
  <si>
    <t>Kami Kane</t>
  </si>
  <si>
    <t>Misty Mallow</t>
  </si>
  <si>
    <t>Laraine Longworth</t>
  </si>
  <si>
    <t>Lila Love</t>
  </si>
  <si>
    <t>Julietta Jorgensen</t>
  </si>
  <si>
    <t>Subject</t>
  </si>
  <si>
    <t>RED</t>
  </si>
  <si>
    <t>GREEN</t>
  </si>
  <si>
    <t>PURPLE</t>
  </si>
  <si>
    <t>BLUE</t>
  </si>
  <si>
    <t>ORANGE</t>
  </si>
  <si>
    <t>Calendar
*Required</t>
  </si>
  <si>
    <t>Start</t>
  </si>
  <si>
    <t>End 
(Leave blank for all day event)</t>
  </si>
  <si>
    <t>Reminder minutes before start</t>
  </si>
  <si>
    <t>Location</t>
  </si>
  <si>
    <t>Import to Outlook?</t>
  </si>
  <si>
    <t>123 Avenue Office</t>
  </si>
  <si>
    <t>This is nothing more than a hopeless comment with dreams of aspiring to be a short description</t>
  </si>
  <si>
    <t>Starbuck Cafe</t>
  </si>
  <si>
    <t>This is probably not a very short description</t>
  </si>
  <si>
    <t>This is a short description</t>
  </si>
  <si>
    <t>My Apartment</t>
  </si>
  <si>
    <t>Schedule</t>
  </si>
  <si>
    <t>Start Date</t>
  </si>
  <si>
    <t>Start Time</t>
  </si>
  <si>
    <t>End Time</t>
  </si>
  <si>
    <t>Updated on - 31/5/2017</t>
  </si>
  <si>
    <r>
      <t xml:space="preserve">End Date
</t>
    </r>
    <r>
      <rPr>
        <sz val="11"/>
        <rFont val="Calibri Light"/>
        <family val="2"/>
        <scheme val="major"/>
      </rPr>
      <t>Leave blank for all day Event</t>
    </r>
  </si>
  <si>
    <t>&lt;--Select '1' for yes and '0' for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</si>
</sst>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(* #,##0.00_);_(* \(#,##0.00\);_(* &quot;-&quot;??_);_(@_)"/>
    <numFmt numFmtId="164" formatCode=";;;"/>
    <numFmt numFmtId="165" formatCode="yyyy"/>
    <numFmt numFmtId="166" formatCode="d"/>
    <numFmt numFmtId="167" formatCode="yyyy\,\ mmmm"/>
    <numFmt numFmtId="168" formatCode="dd\ mmm\ yyyy\ \-\ ddd"/>
    <numFmt numFmtId="169" formatCode="ddd"/>
    <numFmt numFmtId="170" formatCode="ddd\,* d\ mmm\ \-\ "/>
    <numFmt numFmtId="171" formatCode="hh:mm"/>
    <numFmt numFmtId="172" formatCode="0\ &quot;more tasks to go!&quot;"/>
    <numFmt numFmtId="173" formatCode="_-&quot;$&quot;* #,##0.00_-;\-&quot;$&quot;* #,##0.00_-;_-&quot;$&quot;* &quot;-&quot;??_-;_-@_-"/>
    <numFmt numFmtId="174" formatCode="d/m/yyyy\ &quot;@&quot;\ h:mm\ AM/PM"/>
    <numFmt numFmtId="175" formatCode="0\ &quot;mins&quot;"/>
    <numFmt numFmtId="176" formatCode="[$-F400]h:mm:ss\ AM/PM"/>
  </numFmts>
  <fonts count="36">
    <font>
      <sz val="11"/>
      <color theme="1"/>
      <name val="Calibri"/>
      <family val="2"/>
      <scheme val="minor"/>
    </font>
    <font>
      <sz val="11"/>
      <color theme="1"/>
      <name val="Calibre Light"/>
      <family val="2"/>
    </font>
    <font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sz val="11"/>
      <color rgb="FF00610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0"/>
      <color rgb="FF333333"/>
      <name val="Arial"/>
      <family val="2"/>
    </font>
    <font>
      <sz val="10"/>
      <color rgb="FF333333"/>
      <name val="Arial"/>
      <family val="2"/>
    </font>
    <font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b/>
      <sz val="11"/>
      <color rgb="FF3F3F3F"/>
      <name val="Calibri"/>
      <family val="2"/>
      <scheme val="minor"/>
    </font>
    <font>
      <sz val="1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1"/>
      <name val="Calibri Light"/>
      <family val="2"/>
      <scheme val="major"/>
    </font>
  </fonts>
  <fills count="4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9">
    <xf numFmtId="0" fontId="0" fillId="0" borderId="0"/>
    <xf numFmtId="0" fontId="2" fillId="18" borderId="0" applyNumberFormat="0" applyBorder="0" applyAlignment="0" applyProtection="0"/>
    <xf numFmtId="0" fontId="1" fillId="18" borderId="0" applyNumberFormat="0" applyBorder="0" applyAlignment="0" applyProtection="0"/>
    <xf numFmtId="0" fontId="2" fillId="22" borderId="0" applyNumberFormat="0" applyBorder="0" applyAlignment="0" applyProtection="0"/>
    <xf numFmtId="0" fontId="1" fillId="22" borderId="0" applyNumberFormat="0" applyBorder="0" applyAlignment="0" applyProtection="0"/>
    <xf numFmtId="0" fontId="2" fillId="26" borderId="0" applyNumberFormat="0" applyBorder="0" applyAlignment="0" applyProtection="0"/>
    <xf numFmtId="0" fontId="1" fillId="26" borderId="0" applyNumberFormat="0" applyBorder="0" applyAlignment="0" applyProtection="0"/>
    <xf numFmtId="0" fontId="2" fillId="30" borderId="0" applyNumberFormat="0" applyBorder="0" applyAlignment="0" applyProtection="0"/>
    <xf numFmtId="0" fontId="1" fillId="30" borderId="0" applyNumberFormat="0" applyBorder="0" applyAlignment="0" applyProtection="0"/>
    <xf numFmtId="0" fontId="2" fillId="34" borderId="0" applyNumberFormat="0" applyBorder="0" applyAlignment="0" applyProtection="0"/>
    <xf numFmtId="0" fontId="1" fillId="34" borderId="0" applyNumberFormat="0" applyBorder="0" applyAlignment="0" applyProtection="0"/>
    <xf numFmtId="0" fontId="2" fillId="38" borderId="0" applyNumberFormat="0" applyBorder="0" applyAlignment="0" applyProtection="0"/>
    <xf numFmtId="0" fontId="1" fillId="38" borderId="0" applyNumberFormat="0" applyBorder="0" applyAlignment="0" applyProtection="0"/>
    <xf numFmtId="0" fontId="2" fillId="19" borderId="0" applyNumberFormat="0" applyBorder="0" applyAlignment="0" applyProtection="0"/>
    <xf numFmtId="0" fontId="1" fillId="19" borderId="0" applyNumberFormat="0" applyBorder="0" applyAlignment="0" applyProtection="0"/>
    <xf numFmtId="0" fontId="2" fillId="23" borderId="0" applyNumberFormat="0" applyBorder="0" applyAlignment="0" applyProtection="0"/>
    <xf numFmtId="0" fontId="1" fillId="23" borderId="0" applyNumberFormat="0" applyBorder="0" applyAlignment="0" applyProtection="0"/>
    <xf numFmtId="0" fontId="2" fillId="27" borderId="0" applyNumberFormat="0" applyBorder="0" applyAlignment="0" applyProtection="0"/>
    <xf numFmtId="0" fontId="1" fillId="27" borderId="0" applyNumberFormat="0" applyBorder="0" applyAlignment="0" applyProtection="0"/>
    <xf numFmtId="0" fontId="2" fillId="31" borderId="0" applyNumberFormat="0" applyBorder="0" applyAlignment="0" applyProtection="0"/>
    <xf numFmtId="0" fontId="1" fillId="31" borderId="0" applyNumberFormat="0" applyBorder="0" applyAlignment="0" applyProtection="0"/>
    <xf numFmtId="0" fontId="2" fillId="35" borderId="0" applyNumberFormat="0" applyBorder="0" applyAlignment="0" applyProtection="0"/>
    <xf numFmtId="0" fontId="1" fillId="35" borderId="0" applyNumberFormat="0" applyBorder="0" applyAlignment="0" applyProtection="0"/>
    <xf numFmtId="0" fontId="2" fillId="39" borderId="0" applyNumberFormat="0" applyBorder="0" applyAlignment="0" applyProtection="0"/>
    <xf numFmtId="0" fontId="1" fillId="39" borderId="0" applyNumberFormat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2" borderId="0" applyNumberFormat="0" applyBorder="0" applyAlignment="0" applyProtection="0"/>
    <xf numFmtId="0" fontId="20" fillId="36" borderId="0" applyNumberFormat="0" applyBorder="0" applyAlignment="0" applyProtection="0"/>
    <xf numFmtId="0" fontId="20" fillId="40" borderId="0" applyNumberFormat="0" applyBorder="0" applyAlignment="0" applyProtection="0"/>
    <xf numFmtId="0" fontId="20" fillId="17" borderId="0" applyNumberFormat="0" applyBorder="0" applyAlignment="0" applyProtection="0"/>
    <xf numFmtId="0" fontId="20" fillId="21" borderId="0" applyNumberFormat="0" applyBorder="0" applyAlignment="0" applyProtection="0"/>
    <xf numFmtId="0" fontId="20" fillId="25" borderId="0" applyNumberFormat="0" applyBorder="0" applyAlignment="0" applyProtection="0"/>
    <xf numFmtId="0" fontId="20" fillId="29" borderId="0" applyNumberFormat="0" applyBorder="0" applyAlignment="0" applyProtection="0"/>
    <xf numFmtId="0" fontId="20" fillId="33" borderId="0" applyNumberFormat="0" applyBorder="0" applyAlignment="0" applyProtection="0"/>
    <xf numFmtId="0" fontId="20" fillId="37" borderId="0" applyNumberFormat="0" applyBorder="0" applyAlignment="0" applyProtection="0"/>
    <xf numFmtId="0" fontId="21" fillId="11" borderId="0" applyNumberFormat="0" applyBorder="0" applyAlignment="0" applyProtection="0"/>
    <xf numFmtId="0" fontId="22" fillId="14" borderId="18" applyNumberFormat="0" applyAlignment="0" applyProtection="0"/>
    <xf numFmtId="0" fontId="23" fillId="15" borderId="21" applyNumberFormat="0" applyAlignment="0" applyProtection="0"/>
    <xf numFmtId="43" fontId="2" fillId="0" borderId="0" applyFont="0" applyFill="0" applyBorder="0" applyAlignment="0" applyProtection="0"/>
    <xf numFmtId="173" fontId="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4" fillId="3" borderId="0" applyNumberFormat="0" applyBorder="0" applyAlignment="0" applyProtection="0"/>
    <xf numFmtId="0" fontId="25" fillId="0" borderId="15" applyNumberFormat="0" applyFill="0" applyAlignment="0" applyProtection="0"/>
    <xf numFmtId="0" fontId="26" fillId="0" borderId="16" applyNumberFormat="0" applyFill="0" applyAlignment="0" applyProtection="0"/>
    <xf numFmtId="0" fontId="27" fillId="0" borderId="17" applyNumberFormat="0" applyFill="0" applyAlignment="0" applyProtection="0"/>
    <xf numFmtId="0" fontId="27" fillId="0" borderId="0" applyNumberFormat="0" applyFill="0" applyBorder="0" applyAlignment="0" applyProtection="0"/>
    <xf numFmtId="0" fontId="28" fillId="13" borderId="18" applyNumberFormat="0" applyAlignment="0" applyProtection="0"/>
    <xf numFmtId="0" fontId="29" fillId="0" borderId="20" applyNumberFormat="0" applyFill="0" applyAlignment="0" applyProtection="0"/>
    <xf numFmtId="0" fontId="30" fillId="12" borderId="0" applyNumberFormat="0" applyBorder="0" applyAlignment="0" applyProtection="0"/>
    <xf numFmtId="0" fontId="31" fillId="0" borderId="0"/>
    <xf numFmtId="0" fontId="1" fillId="0" borderId="0"/>
    <xf numFmtId="0" fontId="1" fillId="0" borderId="0"/>
    <xf numFmtId="0" fontId="1" fillId="16" borderId="22" applyNumberFormat="0" applyFont="0" applyAlignment="0" applyProtection="0"/>
    <xf numFmtId="0" fontId="1" fillId="16" borderId="22" applyNumberFormat="0" applyFont="0" applyAlignment="0" applyProtection="0"/>
    <xf numFmtId="0" fontId="32" fillId="14" borderId="19" applyNumberFormat="0" applyAlignment="0" applyProtection="0"/>
    <xf numFmtId="0" fontId="14" fillId="0" borderId="23" applyNumberFormat="0" applyFill="0" applyAlignment="0" applyProtection="0"/>
    <xf numFmtId="0" fontId="19" fillId="0" borderId="0" applyNumberFormat="0" applyFill="0" applyBorder="0" applyAlignment="0" applyProtection="0"/>
  </cellStyleXfs>
  <cellXfs count="78">
    <xf numFmtId="0" fontId="0" fillId="0" borderId="0" xfId="0"/>
    <xf numFmtId="168" fontId="12" fillId="5" borderId="0" xfId="0" applyNumberFormat="1" applyFont="1" applyFill="1" applyAlignment="1">
      <alignment horizontal="left" vertical="top" wrapText="1"/>
    </xf>
    <xf numFmtId="168" fontId="12" fillId="5" borderId="11" xfId="0" applyNumberFormat="1" applyFont="1" applyFill="1" applyBorder="1" applyAlignment="1">
      <alignment horizontal="left" vertical="top" wrapText="1"/>
    </xf>
    <xf numFmtId="168" fontId="0" fillId="0" borderId="0" xfId="0" applyNumberFormat="1"/>
    <xf numFmtId="168" fontId="11" fillId="4" borderId="10" xfId="0" applyNumberFormat="1" applyFont="1" applyFill="1" applyBorder="1" applyAlignment="1">
      <alignment horizontal="left" vertical="center" wrapText="1"/>
    </xf>
    <xf numFmtId="0" fontId="11" fillId="4" borderId="10" xfId="0" applyFont="1" applyFill="1" applyBorder="1" applyAlignment="1">
      <alignment horizontal="left" vertical="center" wrapText="1"/>
    </xf>
    <xf numFmtId="0" fontId="0" fillId="0" borderId="0" xfId="0" applyAlignment="1" applyProtection="1">
      <alignment horizontal="left"/>
      <protection locked="0"/>
    </xf>
    <xf numFmtId="167" fontId="16" fillId="0" borderId="0" xfId="0" applyNumberFormat="1" applyFont="1" applyAlignment="1" applyProtection="1">
      <alignment horizontal="left" wrapText="1"/>
      <protection locked="0"/>
    </xf>
    <xf numFmtId="0" fontId="0" fillId="0" borderId="0" xfId="0" applyFont="1" applyAlignment="1" applyProtection="1">
      <alignment horizontal="left"/>
      <protection locked="0"/>
    </xf>
    <xf numFmtId="169" fontId="6" fillId="4" borderId="3" xfId="0" applyNumberFormat="1" applyFont="1" applyFill="1" applyBorder="1" applyAlignment="1" applyProtection="1">
      <alignment horizontal="left"/>
    </xf>
    <xf numFmtId="169" fontId="6" fillId="4" borderId="1" xfId="0" applyNumberFormat="1" applyFont="1" applyFill="1" applyBorder="1" applyAlignment="1" applyProtection="1">
      <alignment horizontal="left"/>
    </xf>
    <xf numFmtId="166" fontId="7" fillId="0" borderId="7" xfId="0" applyNumberFormat="1" applyFont="1" applyBorder="1" applyAlignment="1" applyProtection="1">
      <alignment horizontal="left"/>
    </xf>
    <xf numFmtId="166" fontId="6" fillId="0" borderId="6" xfId="0" applyNumberFormat="1" applyFont="1" applyBorder="1" applyAlignment="1" applyProtection="1">
      <alignment horizontal="left"/>
    </xf>
    <xf numFmtId="166" fontId="6" fillId="0" borderId="2" xfId="0" applyNumberFormat="1" applyFont="1" applyBorder="1" applyAlignment="1" applyProtection="1">
      <alignment horizontal="left"/>
    </xf>
    <xf numFmtId="166" fontId="6" fillId="0" borderId="7" xfId="0" applyNumberFormat="1" applyFont="1" applyBorder="1" applyAlignment="1" applyProtection="1">
      <alignment horizontal="left"/>
    </xf>
    <xf numFmtId="166" fontId="7" fillId="0" borderId="2" xfId="0" applyNumberFormat="1" applyFont="1" applyBorder="1" applyAlignment="1" applyProtection="1">
      <alignment horizontal="left"/>
    </xf>
    <xf numFmtId="0" fontId="15" fillId="0" borderId="9" xfId="0" applyFont="1" applyBorder="1" applyAlignment="1" applyProtection="1">
      <alignment horizontal="left" vertical="center"/>
    </xf>
    <xf numFmtId="0" fontId="13" fillId="0" borderId="4" xfId="0" applyFont="1" applyBorder="1" applyAlignment="1" applyProtection="1">
      <alignment horizontal="left" vertical="center"/>
    </xf>
    <xf numFmtId="0" fontId="13" fillId="0" borderId="4" xfId="0" applyFont="1" applyBorder="1" applyAlignment="1" applyProtection="1">
      <alignment horizontal="left" vertical="center" wrapText="1"/>
    </xf>
    <xf numFmtId="0" fontId="0" fillId="0" borderId="0" xfId="0" applyFont="1" applyAlignment="1" applyProtection="1">
      <alignment horizontal="left" vertical="top" wrapText="1"/>
      <protection locked="0"/>
    </xf>
    <xf numFmtId="0" fontId="14" fillId="0" borderId="0" xfId="0" applyFont="1" applyAlignment="1" applyProtection="1">
      <alignment vertical="center" wrapText="1"/>
      <protection locked="0"/>
    </xf>
    <xf numFmtId="0" fontId="14" fillId="0" borderId="0" xfId="0" applyFont="1" applyAlignment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9" fillId="2" borderId="8" xfId="0" applyFont="1" applyFill="1" applyBorder="1" applyAlignment="1" applyProtection="1">
      <alignment horizontal="center" vertical="center"/>
    </xf>
    <xf numFmtId="0" fontId="9" fillId="0" borderId="8" xfId="0" applyFont="1" applyBorder="1" applyAlignment="1" applyProtection="1">
      <alignment horizontal="center" vertical="center"/>
    </xf>
    <xf numFmtId="0" fontId="10" fillId="0" borderId="8" xfId="0" applyFont="1" applyBorder="1" applyAlignment="1" applyProtection="1">
      <alignment horizontal="center" vertical="center"/>
    </xf>
    <xf numFmtId="164" fontId="0" fillId="0" borderId="0" xfId="0" applyNumberFormat="1" applyAlignment="1" applyProtection="1">
      <alignment horizontal="center"/>
    </xf>
    <xf numFmtId="165" fontId="5" fillId="0" borderId="0" xfId="0" applyNumberFormat="1" applyFont="1" applyAlignment="1" applyProtection="1">
      <alignment horizontal="left"/>
    </xf>
    <xf numFmtId="0" fontId="0" fillId="0" borderId="0" xfId="0" applyAlignment="1" applyProtection="1">
      <alignment horizontal="center" vertical="center"/>
    </xf>
    <xf numFmtId="16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0" fillId="0" borderId="0" xfId="0" applyFont="1" applyAlignment="1" applyProtection="1">
      <alignment horizontal="left"/>
    </xf>
    <xf numFmtId="0" fontId="0" fillId="0" borderId="13" xfId="0" applyFont="1" applyBorder="1" applyAlignment="1" applyProtection="1">
      <alignment horizontal="left"/>
      <protection locked="0"/>
    </xf>
    <xf numFmtId="0" fontId="0" fillId="0" borderId="8" xfId="0" applyFont="1" applyBorder="1" applyAlignment="1" applyProtection="1">
      <alignment horizontal="left"/>
      <protection locked="0"/>
    </xf>
    <xf numFmtId="0" fontId="0" fillId="0" borderId="14" xfId="0" applyFont="1" applyBorder="1" applyAlignment="1" applyProtection="1">
      <alignment horizontal="left"/>
      <protection locked="0"/>
    </xf>
    <xf numFmtId="170" fontId="18" fillId="0" borderId="0" xfId="0" applyNumberFormat="1" applyFont="1" applyBorder="1" applyAlignment="1" applyProtection="1">
      <alignment horizontal="left"/>
      <protection locked="0"/>
    </xf>
    <xf numFmtId="0" fontId="0" fillId="0" borderId="8" xfId="0" applyFont="1" applyFill="1" applyBorder="1" applyAlignment="1" applyProtection="1">
      <alignment horizontal="left"/>
      <protection locked="0"/>
    </xf>
    <xf numFmtId="171" fontId="0" fillId="0" borderId="0" xfId="0" applyNumberFormat="1" applyAlignment="1" applyProtection="1">
      <alignment horizontal="left"/>
      <protection locked="0"/>
    </xf>
    <xf numFmtId="171" fontId="0" fillId="0" borderId="12" xfId="0" applyNumberFormat="1" applyBorder="1" applyAlignment="1" applyProtection="1">
      <alignment horizontal="left"/>
      <protection locked="0"/>
    </xf>
    <xf numFmtId="171" fontId="14" fillId="0" borderId="8" xfId="0" applyNumberFormat="1" applyFont="1" applyBorder="1" applyAlignment="1" applyProtection="1">
      <alignment horizontal="center"/>
      <protection locked="0"/>
    </xf>
    <xf numFmtId="171" fontId="14" fillId="0" borderId="14" xfId="0" applyNumberFormat="1" applyFont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right"/>
      <protection locked="0"/>
    </xf>
    <xf numFmtId="164" fontId="0" fillId="0" borderId="0" xfId="0" applyNumberFormat="1" applyAlignment="1" applyProtection="1">
      <alignment horizontal="left"/>
      <protection locked="0"/>
    </xf>
    <xf numFmtId="172" fontId="14" fillId="0" borderId="12" xfId="0" applyNumberFormat="1" applyFont="1" applyBorder="1" applyAlignment="1" applyProtection="1">
      <alignment horizontal="right"/>
      <protection locked="0"/>
    </xf>
    <xf numFmtId="171" fontId="14" fillId="0" borderId="13" xfId="0" applyNumberFormat="1" applyFont="1" applyBorder="1" applyAlignment="1" applyProtection="1">
      <alignment horizontal="center"/>
      <protection locked="0"/>
    </xf>
    <xf numFmtId="0" fontId="14" fillId="6" borderId="0" xfId="0" applyFont="1" applyFill="1" applyAlignment="1" applyProtection="1">
      <protection locked="0"/>
    </xf>
    <xf numFmtId="0" fontId="14" fillId="7" borderId="0" xfId="0" applyFont="1" applyFill="1" applyAlignment="1" applyProtection="1">
      <protection locked="0"/>
    </xf>
    <xf numFmtId="0" fontId="14" fillId="8" borderId="0" xfId="0" applyFont="1" applyFill="1" applyAlignment="1" applyProtection="1">
      <protection locked="0"/>
    </xf>
    <xf numFmtId="0" fontId="14" fillId="9" borderId="0" xfId="0" applyFont="1" applyFill="1" applyAlignment="1" applyProtection="1">
      <protection locked="0"/>
    </xf>
    <xf numFmtId="0" fontId="14" fillId="10" borderId="0" xfId="0" applyFont="1" applyFill="1" applyAlignment="1" applyProtection="1">
      <protection locked="0"/>
    </xf>
    <xf numFmtId="0" fontId="14" fillId="0" borderId="0" xfId="0" applyFont="1" applyAlignment="1" applyProtection="1">
      <alignment horizontal="left"/>
      <protection locked="0"/>
    </xf>
    <xf numFmtId="0" fontId="3" fillId="0" borderId="5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5" xfId="0" applyFont="1" applyFill="1" applyBorder="1" applyAlignment="1">
      <alignment horizontal="center" vertical="top" wrapText="1"/>
    </xf>
    <xf numFmtId="174" fontId="3" fillId="0" borderId="5" xfId="0" applyNumberFormat="1" applyFont="1" applyBorder="1" applyAlignment="1">
      <alignment horizontal="center"/>
    </xf>
    <xf numFmtId="175" fontId="3" fillId="0" borderId="5" xfId="0" applyNumberFormat="1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5" xfId="0" applyFont="1" applyFill="1" applyBorder="1" applyAlignment="1">
      <alignment horizontal="center" vertical="top"/>
    </xf>
    <xf numFmtId="0" fontId="33" fillId="0" borderId="5" xfId="0" applyFont="1" applyFill="1" applyBorder="1" applyAlignment="1">
      <alignment horizontal="center" vertical="top" wrapText="1"/>
    </xf>
    <xf numFmtId="0" fontId="3" fillId="0" borderId="5" xfId="0" applyFont="1" applyFill="1" applyBorder="1" applyAlignment="1">
      <alignment horizontal="center" vertical="center" wrapText="1"/>
    </xf>
    <xf numFmtId="176" fontId="3" fillId="0" borderId="0" xfId="0" applyNumberFormat="1" applyFont="1" applyFill="1" applyAlignment="1">
      <alignment horizontal="center"/>
    </xf>
    <xf numFmtId="176" fontId="3" fillId="0" borderId="5" xfId="0" applyNumberFormat="1" applyFont="1" applyBorder="1" applyAlignment="1">
      <alignment horizontal="center"/>
    </xf>
    <xf numFmtId="14" fontId="3" fillId="0" borderId="0" xfId="0" applyNumberFormat="1" applyFont="1" applyFill="1" applyAlignment="1">
      <alignment horizontal="center"/>
    </xf>
    <xf numFmtId="14" fontId="3" fillId="0" borderId="5" xfId="0" applyNumberFormat="1" applyFont="1" applyBorder="1" applyAlignment="1">
      <alignment horizontal="center"/>
    </xf>
    <xf numFmtId="0" fontId="3" fillId="0" borderId="0" xfId="0" applyFont="1" applyFill="1" applyAlignment="1">
      <alignment horizontal="left"/>
    </xf>
    <xf numFmtId="0" fontId="35" fillId="41" borderId="5" xfId="0" applyFont="1" applyFill="1" applyBorder="1" applyAlignment="1">
      <alignment horizontal="center"/>
    </xf>
    <xf numFmtId="0" fontId="35" fillId="41" borderId="5" xfId="0" applyFont="1" applyFill="1" applyBorder="1" applyAlignment="1">
      <alignment horizontal="center" wrapText="1"/>
    </xf>
    <xf numFmtId="14" fontId="35" fillId="41" borderId="5" xfId="0" applyNumberFormat="1" applyFont="1" applyFill="1" applyBorder="1" applyAlignment="1">
      <alignment horizontal="center" wrapText="1"/>
    </xf>
    <xf numFmtId="176" fontId="35" fillId="41" borderId="5" xfId="0" applyNumberFormat="1" applyFont="1" applyFill="1" applyBorder="1" applyAlignment="1">
      <alignment horizontal="center" wrapText="1"/>
    </xf>
    <xf numFmtId="0" fontId="34" fillId="41" borderId="5" xfId="0" applyFont="1" applyFill="1" applyBorder="1" applyAlignment="1">
      <alignment horizontal="center" wrapText="1"/>
    </xf>
    <xf numFmtId="0" fontId="3" fillId="0" borderId="5" xfId="0" applyFont="1" applyBorder="1" applyAlignment="1">
      <alignment horizontal="center"/>
    </xf>
    <xf numFmtId="0" fontId="35" fillId="41" borderId="5" xfId="0" applyFont="1" applyFill="1" applyBorder="1" applyAlignment="1">
      <alignment horizontal="center" wrapText="1"/>
    </xf>
    <xf numFmtId="0" fontId="3" fillId="0" borderId="5" xfId="0" applyFont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35" fillId="41" borderId="5" xfId="0" applyFont="1" applyFill="1" applyBorder="1" applyAlignment="1">
      <alignment horizontal="left" wrapText="1"/>
    </xf>
    <xf numFmtId="0" fontId="3" fillId="0" borderId="5" xfId="0" applyFont="1" applyBorder="1" applyAlignment="1">
      <alignment horizontal="left" wrapText="1"/>
    </xf>
    <xf numFmtId="0" fontId="3" fillId="0" borderId="0" xfId="0" applyFont="1" applyFill="1" applyAlignment="1">
      <alignment horizontal="center" wrapText="1"/>
    </xf>
    <xf numFmtId="167" fontId="5" fillId="0" borderId="0" xfId="0" applyNumberFormat="1" applyFont="1" applyAlignment="1" applyProtection="1">
      <alignment horizontal="left"/>
    </xf>
  </cellXfs>
  <cellStyles count="59">
    <cellStyle name="20% - Accent1 2" xfId="1"/>
    <cellStyle name="20% - Accent1 3" xfId="2"/>
    <cellStyle name="20% - Accent2 2" xfId="3"/>
    <cellStyle name="20% - Accent2 3" xfId="4"/>
    <cellStyle name="20% - Accent3 2" xfId="5"/>
    <cellStyle name="20% - Accent3 3" xfId="6"/>
    <cellStyle name="20% - Accent4 2" xfId="7"/>
    <cellStyle name="20% - Accent4 3" xfId="8"/>
    <cellStyle name="20% - Accent5 2" xfId="9"/>
    <cellStyle name="20% - Accent5 3" xfId="10"/>
    <cellStyle name="20% - Accent6 2" xfId="11"/>
    <cellStyle name="20% - Accent6 3" xfId="12"/>
    <cellStyle name="40% - Accent1 2" xfId="13"/>
    <cellStyle name="40% - Accent1 3" xfId="14"/>
    <cellStyle name="40% - Accent2 2" xfId="15"/>
    <cellStyle name="40% - Accent2 3" xfId="16"/>
    <cellStyle name="40% - Accent3 2" xfId="17"/>
    <cellStyle name="40% - Accent3 3" xfId="18"/>
    <cellStyle name="40% - Accent4 2" xfId="19"/>
    <cellStyle name="40% - Accent4 3" xfId="20"/>
    <cellStyle name="40% - Accent5 2" xfId="21"/>
    <cellStyle name="40% - Accent5 3" xfId="22"/>
    <cellStyle name="40% - Accent6 2" xfId="23"/>
    <cellStyle name="40% - Accent6 3" xfId="24"/>
    <cellStyle name="60% - Accent1 2" xfId="25"/>
    <cellStyle name="60% - Accent2 2" xfId="26"/>
    <cellStyle name="60% - Accent3 2" xfId="27"/>
    <cellStyle name="60% - Accent4 2" xfId="28"/>
    <cellStyle name="60% - Accent5 2" xfId="29"/>
    <cellStyle name="60% - Accent6 2" xfId="30"/>
    <cellStyle name="Accent1 2" xfId="31"/>
    <cellStyle name="Accent2 2" xfId="32"/>
    <cellStyle name="Accent3 2" xfId="33"/>
    <cellStyle name="Accent4 2" xfId="34"/>
    <cellStyle name="Accent5 2" xfId="35"/>
    <cellStyle name="Accent6 2" xfId="36"/>
    <cellStyle name="Bad 2" xfId="37"/>
    <cellStyle name="Calculation 2" xfId="38"/>
    <cellStyle name="Check Cell 2" xfId="39"/>
    <cellStyle name="Comma 2" xfId="40"/>
    <cellStyle name="Currency 2" xfId="41"/>
    <cellStyle name="Explanatory Text 2" xfId="42"/>
    <cellStyle name="Good 2" xfId="43"/>
    <cellStyle name="Heading 1 2" xfId="44"/>
    <cellStyle name="Heading 2 2" xfId="45"/>
    <cellStyle name="Heading 3 2" xfId="46"/>
    <cellStyle name="Heading 4 2" xfId="47"/>
    <cellStyle name="Input 2" xfId="48"/>
    <cellStyle name="Linked Cell 2" xfId="49"/>
    <cellStyle name="Neutral 2" xfId="50"/>
    <cellStyle name="Normal" xfId="0" builtinId="0"/>
    <cellStyle name="Normal 2" xfId="51"/>
    <cellStyle name="Normal 3" xfId="52"/>
    <cellStyle name="Normal 4" xfId="53"/>
    <cellStyle name="Note 2" xfId="54"/>
    <cellStyle name="Note 3" xfId="55"/>
    <cellStyle name="Output 2" xfId="56"/>
    <cellStyle name="Total 2" xfId="57"/>
    <cellStyle name="Warning Text 2" xfId="58"/>
  </cellStyles>
  <dxfs count="17">
    <dxf>
      <font>
        <color rgb="FFFF0000"/>
      </font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gradientFill degree="90">
          <stop position="0">
            <color theme="0"/>
          </stop>
          <stop position="1">
            <color theme="4" tint="0.80001220740379042"/>
          </stop>
        </gradientFill>
      </fill>
    </dxf>
    <dxf>
      <numFmt numFmtId="177" formatCode="yyyy\,* d\ mmm\ \-"/>
    </dxf>
    <dxf>
      <font>
        <b/>
        <i val="0"/>
      </font>
      <numFmt numFmtId="178" formatCode="#\ &quot;Appointments&quot;"/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theme="2" tint="-0.24994659260841701"/>
      </font>
    </dxf>
    <dxf>
      <fill>
        <gradientFill degree="270">
          <stop position="0">
            <color theme="0"/>
          </stop>
          <stop position="1">
            <color theme="4" tint="0.59999389629810485"/>
          </stop>
        </gradientFill>
      </fill>
    </dxf>
  </dxfs>
  <tableStyles count="0" defaultTableStyle="TableStyleMedium2" defaultPivotStyle="PivotStyleLight16"/>
  <colors>
    <mruColors>
      <color rgb="FFFF7C80"/>
      <color rgb="FF538D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20" fmlaLink="B1" max="30000" page="10" val="1500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929640</xdr:colOff>
          <xdr:row>0</xdr:row>
          <xdr:rowOff>449580</xdr:rowOff>
        </xdr:from>
        <xdr:to>
          <xdr:col>4</xdr:col>
          <xdr:colOff>1181100</xdr:colOff>
          <xdr:row>1</xdr:row>
          <xdr:rowOff>38100</xdr:rowOff>
        </xdr:to>
        <xdr:sp macro="" textlink="">
          <xdr:nvSpPr>
            <xdr:cNvPr id="9228" name="Spinner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335280</xdr:colOff>
          <xdr:row>0</xdr:row>
          <xdr:rowOff>419100</xdr:rowOff>
        </xdr:from>
        <xdr:to>
          <xdr:col>9</xdr:col>
          <xdr:colOff>0</xdr:colOff>
          <xdr:row>1</xdr:row>
          <xdr:rowOff>15240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731520</xdr:colOff>
          <xdr:row>0</xdr:row>
          <xdr:rowOff>426720</xdr:rowOff>
        </xdr:from>
        <xdr:to>
          <xdr:col>7</xdr:col>
          <xdr:colOff>381000</xdr:colOff>
          <xdr:row>1</xdr:row>
          <xdr:rowOff>22860</xdr:rowOff>
        </xdr:to>
        <xdr:sp macro="" textlink="">
          <xdr:nvSpPr>
            <xdr:cNvPr id="9236" name="Button 20" hidden="1">
              <a:extLst>
                <a:ext uri="{63B3BB69-23CF-44E3-9099-C40C66FF867C}">
                  <a14:compatExt spid="_x0000_s9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944880</xdr:colOff>
          <xdr:row>0</xdr:row>
          <xdr:rowOff>426720</xdr:rowOff>
        </xdr:from>
        <xdr:to>
          <xdr:col>6</xdr:col>
          <xdr:colOff>609600</xdr:colOff>
          <xdr:row>1</xdr:row>
          <xdr:rowOff>22860</xdr:rowOff>
        </xdr:to>
        <xdr:sp macro="" textlink="">
          <xdr:nvSpPr>
            <xdr:cNvPr id="9237" name="Button 21" hidden="1">
              <a:extLst>
                <a:ext uri="{63B3BB69-23CF-44E3-9099-C40C66FF867C}">
                  <a14:compatExt spid="_x0000_s9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89647</xdr:colOff>
      <xdr:row>0</xdr:row>
      <xdr:rowOff>457004</xdr:rowOff>
    </xdr:from>
    <xdr:to>
      <xdr:col>11</xdr:col>
      <xdr:colOff>1326777</xdr:colOff>
      <xdr:row>2</xdr:row>
      <xdr:rowOff>188259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1694" y="457004"/>
          <a:ext cx="1918448" cy="79805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541020</xdr:colOff>
          <xdr:row>0</xdr:row>
          <xdr:rowOff>426720</xdr:rowOff>
        </xdr:from>
        <xdr:to>
          <xdr:col>8</xdr:col>
          <xdr:colOff>205740</xdr:colOff>
          <xdr:row>1</xdr:row>
          <xdr:rowOff>22860</xdr:rowOff>
        </xdr:to>
        <xdr:sp macro="" textlink="">
          <xdr:nvSpPr>
            <xdr:cNvPr id="89186" name="Button 10338" hidden="1">
              <a:extLst>
                <a:ext uri="{63B3BB69-23CF-44E3-9099-C40C66FF867C}">
                  <a14:compatExt spid="_x0000_s89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to 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1318260</xdr:colOff>
          <xdr:row>0</xdr:row>
          <xdr:rowOff>441960</xdr:rowOff>
        </xdr:from>
        <xdr:to>
          <xdr:col>5</xdr:col>
          <xdr:colOff>868680</xdr:colOff>
          <xdr:row>1</xdr:row>
          <xdr:rowOff>38100</xdr:rowOff>
        </xdr:to>
        <xdr:sp macro="" textlink="">
          <xdr:nvSpPr>
            <xdr:cNvPr id="89828" name="Button 10980" hidden="1">
              <a:extLst>
                <a:ext uri="{63B3BB69-23CF-44E3-9099-C40C66FF867C}">
                  <a14:compatExt spid="_x0000_s89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 Remove Comments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5"/>
  <sheetViews>
    <sheetView workbookViewId="0"/>
  </sheetViews>
  <sheetFormatPr defaultRowHeight="14.4"/>
  <cols>
    <col min="1" max="1" width="19.88671875" style="3" customWidth="1"/>
    <col min="2" max="2" width="41.77734375" customWidth="1"/>
  </cols>
  <sheetData>
    <row r="1" spans="1:2" ht="15" thickBot="1">
      <c r="A1" s="4" t="s">
        <v>1</v>
      </c>
      <c r="B1" s="5" t="s">
        <v>13</v>
      </c>
    </row>
    <row r="2" spans="1:2" ht="15" thickBot="1">
      <c r="A2" s="1">
        <v>42736</v>
      </c>
      <c r="B2" t="s">
        <v>3</v>
      </c>
    </row>
    <row r="3" spans="1:2" ht="15" thickBot="1">
      <c r="A3" s="2">
        <v>42737</v>
      </c>
      <c r="B3" t="s">
        <v>3</v>
      </c>
    </row>
    <row r="4" spans="1:2" ht="15" thickBot="1">
      <c r="A4" s="2">
        <v>42763</v>
      </c>
      <c r="B4" t="s">
        <v>4</v>
      </c>
    </row>
    <row r="5" spans="1:2" ht="15" thickBot="1">
      <c r="A5" s="2">
        <v>42764</v>
      </c>
      <c r="B5" t="s">
        <v>4</v>
      </c>
    </row>
    <row r="6" spans="1:2" ht="15" thickBot="1">
      <c r="A6" s="2">
        <v>42765</v>
      </c>
      <c r="B6" t="s">
        <v>4</v>
      </c>
    </row>
    <row r="7" spans="1:2" ht="15" thickBot="1">
      <c r="A7" s="2">
        <v>42839</v>
      </c>
      <c r="B7" t="s">
        <v>5</v>
      </c>
    </row>
    <row r="8" spans="1:2" ht="15" thickBot="1">
      <c r="A8" s="2">
        <v>42856</v>
      </c>
      <c r="B8" t="s">
        <v>6</v>
      </c>
    </row>
    <row r="9" spans="1:2" ht="15" thickBot="1">
      <c r="A9" s="2">
        <v>42865</v>
      </c>
      <c r="B9" t="s">
        <v>7</v>
      </c>
    </row>
    <row r="10" spans="1:2" ht="15" thickBot="1">
      <c r="A10" s="2">
        <v>42911</v>
      </c>
      <c r="B10" t="s">
        <v>8</v>
      </c>
    </row>
    <row r="11" spans="1:2" ht="15" thickBot="1">
      <c r="A11" s="2">
        <v>42912</v>
      </c>
      <c r="B11" t="s">
        <v>8</v>
      </c>
    </row>
    <row r="12" spans="1:2" ht="15" thickBot="1">
      <c r="A12" s="2">
        <v>42956</v>
      </c>
      <c r="B12" t="s">
        <v>9</v>
      </c>
    </row>
    <row r="13" spans="1:2" ht="15" thickBot="1">
      <c r="A13" s="2">
        <v>42979</v>
      </c>
      <c r="B13" t="s">
        <v>10</v>
      </c>
    </row>
    <row r="14" spans="1:2" ht="15" thickBot="1">
      <c r="A14" s="2">
        <v>43026</v>
      </c>
      <c r="B14" t="s">
        <v>11</v>
      </c>
    </row>
    <row r="15" spans="1:2">
      <c r="A15" s="2">
        <v>43094</v>
      </c>
      <c r="B15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1000"/>
  <sheetViews>
    <sheetView showGridLines="0" zoomScaleNormal="100" workbookViewId="0">
      <pane ySplit="1" topLeftCell="A2" activePane="bottomLeft" state="frozen"/>
      <selection activeCell="B1" sqref="B1"/>
      <selection pane="bottomLeft"/>
    </sheetView>
  </sheetViews>
  <sheetFormatPr defaultColWidth="10.77734375" defaultRowHeight="15" customHeight="1"/>
  <cols>
    <col min="1" max="1" width="12.6640625" style="52" customWidth="1"/>
    <col min="2" max="2" width="18.6640625" style="52" bestFit="1" customWidth="1"/>
    <col min="3" max="3" width="23.44140625" style="52" hidden="1" customWidth="1"/>
    <col min="4" max="4" width="25" style="52" hidden="1" customWidth="1"/>
    <col min="5" max="5" width="15" style="62" customWidth="1"/>
    <col min="6" max="6" width="15" style="60" customWidth="1"/>
    <col min="7" max="7" width="15" style="62" customWidth="1"/>
    <col min="8" max="8" width="15" style="60" customWidth="1"/>
    <col min="9" max="9" width="14.77734375" style="52" bestFit="1" customWidth="1"/>
    <col min="10" max="10" width="16" style="52" bestFit="1" customWidth="1"/>
    <col min="11" max="11" width="42.44140625" style="76" customWidth="1"/>
    <col min="12" max="12" width="10" style="73" customWidth="1"/>
    <col min="13" max="16384" width="10.77734375" style="52"/>
  </cols>
  <sheetData>
    <row r="1" spans="1:13" ht="43.2">
      <c r="A1" s="69" t="s">
        <v>221</v>
      </c>
      <c r="B1" s="65" t="s">
        <v>215</v>
      </c>
      <c r="C1" s="65" t="s">
        <v>222</v>
      </c>
      <c r="D1" s="66" t="s">
        <v>223</v>
      </c>
      <c r="E1" s="67" t="s">
        <v>234</v>
      </c>
      <c r="F1" s="68" t="s">
        <v>235</v>
      </c>
      <c r="G1" s="67" t="s">
        <v>238</v>
      </c>
      <c r="H1" s="67" t="s">
        <v>236</v>
      </c>
      <c r="I1" s="66" t="s">
        <v>224</v>
      </c>
      <c r="J1" s="66" t="s">
        <v>225</v>
      </c>
      <c r="K1" s="74" t="s">
        <v>13</v>
      </c>
      <c r="L1" s="71" t="s">
        <v>226</v>
      </c>
    </row>
    <row r="2" spans="1:13" ht="15" customHeight="1">
      <c r="A2" s="53" t="str">
        <f ca="1">INDEX(Calendar!$L$5:$L$9, ROUND(RANDBETWEEN(1,5),0))</f>
        <v>RED</v>
      </c>
      <c r="B2" s="53" t="s">
        <v>15</v>
      </c>
      <c r="C2" s="54">
        <f ca="1">E2+F2</f>
        <v>42875.445769999998</v>
      </c>
      <c r="D2" s="54">
        <f ca="1">G2+H2</f>
        <v>42875.48743666667</v>
      </c>
      <c r="E2" s="63">
        <f ca="1">INT(RANDBETWEEN(DATE(YEAR(TODAY()),1,1),DATE(YEAR(TODAY()) + 1,1,1)))</f>
        <v>42875</v>
      </c>
      <c r="F2" s="61">
        <f ca="1">RANDBETWEEN(TIME(7,30,1) * 100000,TIME(18,29,59) * 100000) / 100000</f>
        <v>0.44577</v>
      </c>
      <c r="G2" s="63">
        <f ca="1">E2</f>
        <v>42875</v>
      </c>
      <c r="H2" s="61">
        <f ca="1">F2+TIME(1,0,0)</f>
        <v>0.48743666666666668</v>
      </c>
      <c r="I2" s="55">
        <v>30</v>
      </c>
      <c r="J2" s="56" t="str">
        <f ca="1">CHOOSE(ROUND(RANDBETWEEN(1, 3),0),"123 Avenue Office", "Starbuck Cafe", "My Apartment")</f>
        <v>123 Avenue Office</v>
      </c>
      <c r="K2" s="75" t="str">
        <f ca="1">CHOOSE(ROUND(RANDBETWEEN(1, 3),0),"This is a short description", "This is probably not a very short description", "This is nothing more than a hopeless comment with dreams of aspiring to be a short description")</f>
        <v>This is probably not a very short description</v>
      </c>
      <c r="L2" s="72">
        <v>0</v>
      </c>
      <c r="M2" s="64" t="s">
        <v>239</v>
      </c>
    </row>
    <row r="3" spans="1:13" ht="15" customHeight="1">
      <c r="A3" s="53" t="s">
        <v>219</v>
      </c>
      <c r="B3" s="53" t="s">
        <v>16</v>
      </c>
      <c r="C3" s="54">
        <f t="shared" ref="C3:C66" si="0">E3+F3</f>
        <v>42779.437969999999</v>
      </c>
      <c r="D3" s="54">
        <f t="shared" ref="D3:D66" si="1">G3+H3</f>
        <v>42779.479636666663</v>
      </c>
      <c r="E3" s="63">
        <v>42779</v>
      </c>
      <c r="F3" s="61">
        <v>0.43797000000000003</v>
      </c>
      <c r="G3" s="63">
        <v>42779</v>
      </c>
      <c r="H3" s="61">
        <v>0.47963666666666671</v>
      </c>
      <c r="I3" s="55">
        <v>30</v>
      </c>
      <c r="J3" s="56" t="s">
        <v>227</v>
      </c>
      <c r="K3" s="75" t="s">
        <v>228</v>
      </c>
      <c r="L3" s="70">
        <v>0</v>
      </c>
    </row>
    <row r="4" spans="1:13" ht="15" customHeight="1">
      <c r="A4" s="53" t="s">
        <v>216</v>
      </c>
      <c r="B4" s="53" t="s">
        <v>17</v>
      </c>
      <c r="C4" s="54">
        <f t="shared" si="0"/>
        <v>43039.384299999998</v>
      </c>
      <c r="D4" s="54">
        <f t="shared" si="1"/>
        <v>43039.425966666669</v>
      </c>
      <c r="E4" s="63">
        <v>43039</v>
      </c>
      <c r="F4" s="61">
        <v>0.38429999999999997</v>
      </c>
      <c r="G4" s="63">
        <v>43039</v>
      </c>
      <c r="H4" s="61">
        <v>0.42596666666666666</v>
      </c>
      <c r="I4" s="55">
        <v>30</v>
      </c>
      <c r="J4" s="56" t="s">
        <v>229</v>
      </c>
      <c r="K4" s="75" t="s">
        <v>230</v>
      </c>
      <c r="L4" s="70">
        <v>0</v>
      </c>
    </row>
    <row r="5" spans="1:13" ht="15" customHeight="1">
      <c r="A5" s="53" t="s">
        <v>216</v>
      </c>
      <c r="B5" s="53" t="s">
        <v>18</v>
      </c>
      <c r="C5" s="54">
        <f t="shared" si="0"/>
        <v>43068.536390000001</v>
      </c>
      <c r="D5" s="54">
        <f t="shared" si="1"/>
        <v>43068.578056666665</v>
      </c>
      <c r="E5" s="63">
        <v>43068</v>
      </c>
      <c r="F5" s="61">
        <v>0.53639000000000003</v>
      </c>
      <c r="G5" s="63">
        <v>43068</v>
      </c>
      <c r="H5" s="61">
        <v>0.57805666666666666</v>
      </c>
      <c r="I5" s="55">
        <v>30</v>
      </c>
      <c r="J5" s="56" t="s">
        <v>227</v>
      </c>
      <c r="K5" s="75" t="s">
        <v>231</v>
      </c>
      <c r="L5" s="70">
        <v>0</v>
      </c>
    </row>
    <row r="6" spans="1:13" ht="15" customHeight="1">
      <c r="A6" s="53" t="s">
        <v>218</v>
      </c>
      <c r="B6" s="53" t="s">
        <v>19</v>
      </c>
      <c r="C6" s="54">
        <f t="shared" si="0"/>
        <v>43093.63175</v>
      </c>
      <c r="D6" s="54">
        <f t="shared" si="1"/>
        <v>43093.673416666665</v>
      </c>
      <c r="E6" s="63">
        <v>43093</v>
      </c>
      <c r="F6" s="61">
        <v>0.63175000000000003</v>
      </c>
      <c r="G6" s="63">
        <v>43093</v>
      </c>
      <c r="H6" s="61">
        <v>0.67341666666666666</v>
      </c>
      <c r="I6" s="55">
        <v>30</v>
      </c>
      <c r="J6" s="56" t="s">
        <v>227</v>
      </c>
      <c r="K6" s="75" t="s">
        <v>228</v>
      </c>
      <c r="L6" s="70">
        <v>0</v>
      </c>
    </row>
    <row r="7" spans="1:13" ht="15" customHeight="1">
      <c r="A7" s="53" t="s">
        <v>220</v>
      </c>
      <c r="B7" s="53" t="s">
        <v>20</v>
      </c>
      <c r="C7" s="54">
        <f t="shared" si="0"/>
        <v>42909.423159999998</v>
      </c>
      <c r="D7" s="54">
        <f t="shared" si="1"/>
        <v>42909.46482666667</v>
      </c>
      <c r="E7" s="63">
        <v>42909</v>
      </c>
      <c r="F7" s="61">
        <v>0.42315999999999998</v>
      </c>
      <c r="G7" s="63">
        <v>42909</v>
      </c>
      <c r="H7" s="61">
        <v>0.46482666666666667</v>
      </c>
      <c r="I7" s="55">
        <v>30</v>
      </c>
      <c r="J7" s="56" t="s">
        <v>232</v>
      </c>
      <c r="K7" s="75" t="s">
        <v>230</v>
      </c>
      <c r="L7" s="70">
        <v>0</v>
      </c>
    </row>
    <row r="8" spans="1:13" ht="15" customHeight="1">
      <c r="A8" s="53" t="s">
        <v>216</v>
      </c>
      <c r="B8" s="53" t="s">
        <v>21</v>
      </c>
      <c r="C8" s="54">
        <f t="shared" si="0"/>
        <v>42888.489589999997</v>
      </c>
      <c r="D8" s="54">
        <f t="shared" si="1"/>
        <v>42888.531256666669</v>
      </c>
      <c r="E8" s="63">
        <v>42888</v>
      </c>
      <c r="F8" s="61">
        <v>0.48959000000000003</v>
      </c>
      <c r="G8" s="63">
        <v>42888</v>
      </c>
      <c r="H8" s="61">
        <v>0.53125666666666671</v>
      </c>
      <c r="I8" s="55">
        <v>30</v>
      </c>
      <c r="J8" s="56" t="s">
        <v>227</v>
      </c>
      <c r="K8" s="75" t="s">
        <v>231</v>
      </c>
      <c r="L8" s="70">
        <v>0</v>
      </c>
    </row>
    <row r="9" spans="1:13" ht="15" customHeight="1">
      <c r="A9" s="53" t="s">
        <v>220</v>
      </c>
      <c r="B9" s="53" t="s">
        <v>22</v>
      </c>
      <c r="C9" s="54">
        <f t="shared" si="0"/>
        <v>43072.645120000001</v>
      </c>
      <c r="D9" s="54">
        <f t="shared" si="1"/>
        <v>43072.686786666665</v>
      </c>
      <c r="E9" s="63">
        <v>43072</v>
      </c>
      <c r="F9" s="61">
        <v>0.64512000000000003</v>
      </c>
      <c r="G9" s="63">
        <v>43072</v>
      </c>
      <c r="H9" s="61">
        <v>0.68678666666666666</v>
      </c>
      <c r="I9" s="55">
        <v>30</v>
      </c>
      <c r="J9" s="56" t="s">
        <v>232</v>
      </c>
      <c r="K9" s="75" t="s">
        <v>231</v>
      </c>
      <c r="L9" s="70">
        <v>0</v>
      </c>
    </row>
    <row r="10" spans="1:13" ht="15" customHeight="1">
      <c r="A10" s="53" t="s">
        <v>220</v>
      </c>
      <c r="B10" s="53" t="s">
        <v>23</v>
      </c>
      <c r="C10" s="54">
        <f t="shared" si="0"/>
        <v>43005.614540000002</v>
      </c>
      <c r="D10" s="54">
        <f t="shared" si="1"/>
        <v>43005.656206666667</v>
      </c>
      <c r="E10" s="63">
        <v>43005</v>
      </c>
      <c r="F10" s="61">
        <v>0.61453999999999998</v>
      </c>
      <c r="G10" s="63">
        <v>43005</v>
      </c>
      <c r="H10" s="61">
        <v>0.6562066666666666</v>
      </c>
      <c r="I10" s="55">
        <v>30</v>
      </c>
      <c r="J10" s="56" t="s">
        <v>227</v>
      </c>
      <c r="K10" s="75" t="s">
        <v>228</v>
      </c>
      <c r="L10" s="70">
        <v>0</v>
      </c>
    </row>
    <row r="11" spans="1:13" ht="15" customHeight="1">
      <c r="A11" s="53" t="s">
        <v>216</v>
      </c>
      <c r="B11" s="53" t="s">
        <v>24</v>
      </c>
      <c r="C11" s="54">
        <f t="shared" si="0"/>
        <v>43078.346989999998</v>
      </c>
      <c r="D11" s="54">
        <f t="shared" si="1"/>
        <v>43078.38865666667</v>
      </c>
      <c r="E11" s="63">
        <v>43078</v>
      </c>
      <c r="F11" s="61">
        <v>0.34699000000000002</v>
      </c>
      <c r="G11" s="63">
        <v>43078</v>
      </c>
      <c r="H11" s="61">
        <v>0.38865666666666671</v>
      </c>
      <c r="I11" s="55">
        <v>30</v>
      </c>
      <c r="J11" s="56" t="s">
        <v>229</v>
      </c>
      <c r="K11" s="75" t="s">
        <v>230</v>
      </c>
      <c r="L11" s="70">
        <v>0</v>
      </c>
    </row>
    <row r="12" spans="1:13" ht="15" customHeight="1">
      <c r="A12" s="53" t="s">
        <v>216</v>
      </c>
      <c r="B12" s="53" t="s">
        <v>25</v>
      </c>
      <c r="C12" s="54">
        <f t="shared" si="0"/>
        <v>42917.507449999997</v>
      </c>
      <c r="D12" s="54">
        <f t="shared" si="1"/>
        <v>42917.549116666669</v>
      </c>
      <c r="E12" s="63">
        <v>42917</v>
      </c>
      <c r="F12" s="61">
        <v>0.50744999999999996</v>
      </c>
      <c r="G12" s="63">
        <v>42917</v>
      </c>
      <c r="H12" s="61">
        <v>0.54911666666666659</v>
      </c>
      <c r="I12" s="55">
        <v>30</v>
      </c>
      <c r="J12" s="56" t="s">
        <v>229</v>
      </c>
      <c r="K12" s="75" t="s">
        <v>230</v>
      </c>
      <c r="L12" s="70">
        <v>0</v>
      </c>
    </row>
    <row r="13" spans="1:13" ht="15" customHeight="1">
      <c r="A13" s="53" t="s">
        <v>218</v>
      </c>
      <c r="B13" s="53" t="s">
        <v>26</v>
      </c>
      <c r="C13" s="54">
        <f t="shared" si="0"/>
        <v>43078.67858</v>
      </c>
      <c r="D13" s="54">
        <f t="shared" si="1"/>
        <v>43078.720246666664</v>
      </c>
      <c r="E13" s="63">
        <v>43078</v>
      </c>
      <c r="F13" s="61">
        <v>0.67857999999999996</v>
      </c>
      <c r="G13" s="63">
        <v>43078</v>
      </c>
      <c r="H13" s="61">
        <v>0.72024666666666659</v>
      </c>
      <c r="I13" s="55">
        <v>30</v>
      </c>
      <c r="J13" s="56" t="s">
        <v>232</v>
      </c>
      <c r="K13" s="75" t="s">
        <v>228</v>
      </c>
      <c r="L13" s="70">
        <v>0</v>
      </c>
    </row>
    <row r="14" spans="1:13" ht="15" customHeight="1">
      <c r="A14" s="53" t="s">
        <v>218</v>
      </c>
      <c r="B14" s="53" t="s">
        <v>27</v>
      </c>
      <c r="C14" s="54">
        <f t="shared" si="0"/>
        <v>42813.418729999998</v>
      </c>
      <c r="D14" s="54">
        <f t="shared" si="1"/>
        <v>42813.460396666669</v>
      </c>
      <c r="E14" s="63">
        <v>42813</v>
      </c>
      <c r="F14" s="61">
        <v>0.41872999999999999</v>
      </c>
      <c r="G14" s="63">
        <v>42813</v>
      </c>
      <c r="H14" s="61">
        <v>0.46039666666666668</v>
      </c>
      <c r="I14" s="55">
        <v>30</v>
      </c>
      <c r="J14" s="56" t="s">
        <v>232</v>
      </c>
      <c r="K14" s="75" t="s">
        <v>228</v>
      </c>
      <c r="L14" s="70">
        <v>0</v>
      </c>
    </row>
    <row r="15" spans="1:13" ht="15" customHeight="1">
      <c r="A15" s="53" t="s">
        <v>218</v>
      </c>
      <c r="B15" s="53" t="s">
        <v>28</v>
      </c>
      <c r="C15" s="54">
        <f t="shared" si="0"/>
        <v>42905.764170000002</v>
      </c>
      <c r="D15" s="54">
        <f t="shared" si="1"/>
        <v>42905.805836666666</v>
      </c>
      <c r="E15" s="63">
        <v>42905</v>
      </c>
      <c r="F15" s="61">
        <v>0.76417000000000002</v>
      </c>
      <c r="G15" s="63">
        <v>42905</v>
      </c>
      <c r="H15" s="61">
        <v>0.80583666666666665</v>
      </c>
      <c r="I15" s="55">
        <v>30</v>
      </c>
      <c r="J15" s="56" t="s">
        <v>227</v>
      </c>
      <c r="K15" s="75" t="s">
        <v>230</v>
      </c>
      <c r="L15" s="70">
        <v>0</v>
      </c>
    </row>
    <row r="16" spans="1:13" ht="15" customHeight="1">
      <c r="A16" s="53" t="s">
        <v>216</v>
      </c>
      <c r="B16" s="53" t="s">
        <v>29</v>
      </c>
      <c r="C16" s="54">
        <f t="shared" si="0"/>
        <v>43013.573550000001</v>
      </c>
      <c r="D16" s="54">
        <f t="shared" si="1"/>
        <v>43013.615216666665</v>
      </c>
      <c r="E16" s="63">
        <v>43013</v>
      </c>
      <c r="F16" s="61">
        <v>0.57355</v>
      </c>
      <c r="G16" s="63">
        <v>43013</v>
      </c>
      <c r="H16" s="61">
        <v>0.61521666666666663</v>
      </c>
      <c r="I16" s="55">
        <v>30</v>
      </c>
      <c r="J16" s="56" t="s">
        <v>227</v>
      </c>
      <c r="K16" s="75" t="s">
        <v>231</v>
      </c>
      <c r="L16" s="70">
        <v>0</v>
      </c>
    </row>
    <row r="17" spans="1:12" ht="15" customHeight="1">
      <c r="A17" s="53" t="s">
        <v>220</v>
      </c>
      <c r="B17" s="53" t="s">
        <v>30</v>
      </c>
      <c r="C17" s="54">
        <f t="shared" si="0"/>
        <v>42833.503239999998</v>
      </c>
      <c r="D17" s="54">
        <f t="shared" si="1"/>
        <v>42833.54490666667</v>
      </c>
      <c r="E17" s="63">
        <v>42833</v>
      </c>
      <c r="F17" s="61">
        <v>0.50324000000000002</v>
      </c>
      <c r="G17" s="63">
        <v>42833</v>
      </c>
      <c r="H17" s="61">
        <v>0.54490666666666665</v>
      </c>
      <c r="I17" s="55">
        <v>30</v>
      </c>
      <c r="J17" s="56" t="s">
        <v>229</v>
      </c>
      <c r="K17" s="75" t="s">
        <v>228</v>
      </c>
      <c r="L17" s="70">
        <v>0</v>
      </c>
    </row>
    <row r="18" spans="1:12" ht="15" customHeight="1">
      <c r="A18" s="53" t="s">
        <v>220</v>
      </c>
      <c r="B18" s="53" t="s">
        <v>31</v>
      </c>
      <c r="C18" s="54">
        <f t="shared" si="0"/>
        <v>43042.517140000004</v>
      </c>
      <c r="D18" s="54">
        <f t="shared" si="1"/>
        <v>43042.558806666668</v>
      </c>
      <c r="E18" s="63">
        <v>43042</v>
      </c>
      <c r="F18" s="61">
        <v>0.51714000000000004</v>
      </c>
      <c r="G18" s="63">
        <v>43042</v>
      </c>
      <c r="H18" s="61">
        <v>0.55880666666666667</v>
      </c>
      <c r="I18" s="55">
        <v>30</v>
      </c>
      <c r="J18" s="56" t="s">
        <v>227</v>
      </c>
      <c r="K18" s="75" t="s">
        <v>230</v>
      </c>
      <c r="L18" s="70">
        <v>0</v>
      </c>
    </row>
    <row r="19" spans="1:12" ht="15" customHeight="1">
      <c r="A19" s="53" t="s">
        <v>217</v>
      </c>
      <c r="B19" s="53" t="s">
        <v>32</v>
      </c>
      <c r="C19" s="54">
        <f t="shared" si="0"/>
        <v>42745.32215</v>
      </c>
      <c r="D19" s="54">
        <f t="shared" si="1"/>
        <v>42745.363816666664</v>
      </c>
      <c r="E19" s="63">
        <v>42745</v>
      </c>
      <c r="F19" s="61">
        <v>0.32214999999999999</v>
      </c>
      <c r="G19" s="63">
        <v>42745</v>
      </c>
      <c r="H19" s="61">
        <v>0.36381666666666668</v>
      </c>
      <c r="I19" s="55">
        <v>30</v>
      </c>
      <c r="J19" s="56" t="s">
        <v>232</v>
      </c>
      <c r="K19" s="75" t="s">
        <v>228</v>
      </c>
      <c r="L19" s="70">
        <v>0</v>
      </c>
    </row>
    <row r="20" spans="1:12" ht="15" customHeight="1">
      <c r="A20" s="53" t="s">
        <v>220</v>
      </c>
      <c r="B20" s="53" t="s">
        <v>33</v>
      </c>
      <c r="C20" s="54">
        <f t="shared" si="0"/>
        <v>42849.477250000004</v>
      </c>
      <c r="D20" s="54">
        <f t="shared" si="1"/>
        <v>42849.518916666668</v>
      </c>
      <c r="E20" s="63">
        <v>42849</v>
      </c>
      <c r="F20" s="61">
        <v>0.47725000000000001</v>
      </c>
      <c r="G20" s="63">
        <v>42849</v>
      </c>
      <c r="H20" s="61">
        <v>0.51891666666666669</v>
      </c>
      <c r="I20" s="55">
        <v>30</v>
      </c>
      <c r="J20" s="56" t="s">
        <v>229</v>
      </c>
      <c r="K20" s="75" t="s">
        <v>228</v>
      </c>
      <c r="L20" s="70">
        <v>0</v>
      </c>
    </row>
    <row r="21" spans="1:12" ht="15" customHeight="1">
      <c r="A21" s="53" t="s">
        <v>219</v>
      </c>
      <c r="B21" s="53" t="s">
        <v>34</v>
      </c>
      <c r="C21" s="54">
        <f t="shared" si="0"/>
        <v>43019.611499999999</v>
      </c>
      <c r="D21" s="54">
        <f t="shared" si="1"/>
        <v>43019.653166666663</v>
      </c>
      <c r="E21" s="63">
        <v>43019</v>
      </c>
      <c r="F21" s="61">
        <v>0.61150000000000004</v>
      </c>
      <c r="G21" s="63">
        <v>43019</v>
      </c>
      <c r="H21" s="61">
        <v>0.65316666666666667</v>
      </c>
      <c r="I21" s="55">
        <v>30</v>
      </c>
      <c r="J21" s="56" t="s">
        <v>227</v>
      </c>
      <c r="K21" s="75" t="s">
        <v>230</v>
      </c>
      <c r="L21" s="70">
        <v>0</v>
      </c>
    </row>
    <row r="22" spans="1:12" ht="15" customHeight="1">
      <c r="A22" s="53" t="s">
        <v>216</v>
      </c>
      <c r="B22" s="53" t="s">
        <v>35</v>
      </c>
      <c r="C22" s="54">
        <f t="shared" si="0"/>
        <v>43091.39776</v>
      </c>
      <c r="D22" s="54">
        <f t="shared" si="1"/>
        <v>43091.439426666664</v>
      </c>
      <c r="E22" s="63">
        <v>43091</v>
      </c>
      <c r="F22" s="61">
        <v>0.39776</v>
      </c>
      <c r="G22" s="63">
        <v>43091</v>
      </c>
      <c r="H22" s="61">
        <v>0.43942666666666669</v>
      </c>
      <c r="I22" s="55">
        <v>30</v>
      </c>
      <c r="J22" s="56" t="s">
        <v>229</v>
      </c>
      <c r="K22" s="75" t="s">
        <v>228</v>
      </c>
      <c r="L22" s="70">
        <v>0</v>
      </c>
    </row>
    <row r="23" spans="1:12" ht="15" customHeight="1">
      <c r="A23" s="53" t="s">
        <v>217</v>
      </c>
      <c r="B23" s="53" t="s">
        <v>36</v>
      </c>
      <c r="C23" s="54">
        <f t="shared" si="0"/>
        <v>42972.369070000001</v>
      </c>
      <c r="D23" s="54">
        <f t="shared" si="1"/>
        <v>42972.410736666665</v>
      </c>
      <c r="E23" s="63">
        <v>42972</v>
      </c>
      <c r="F23" s="61">
        <v>0.36907000000000001</v>
      </c>
      <c r="G23" s="63">
        <v>42972</v>
      </c>
      <c r="H23" s="61">
        <v>0.41073666666666669</v>
      </c>
      <c r="I23" s="55">
        <v>30</v>
      </c>
      <c r="J23" s="56" t="s">
        <v>232</v>
      </c>
      <c r="K23" s="75" t="s">
        <v>230</v>
      </c>
      <c r="L23" s="70">
        <v>0</v>
      </c>
    </row>
    <row r="24" spans="1:12" ht="15" customHeight="1">
      <c r="A24" s="53" t="s">
        <v>220</v>
      </c>
      <c r="B24" s="53" t="s">
        <v>37</v>
      </c>
      <c r="C24" s="54">
        <f t="shared" si="0"/>
        <v>43087.321830000001</v>
      </c>
      <c r="D24" s="54">
        <f t="shared" si="1"/>
        <v>43087.363496666665</v>
      </c>
      <c r="E24" s="63">
        <v>43087</v>
      </c>
      <c r="F24" s="61">
        <v>0.32183</v>
      </c>
      <c r="G24" s="63">
        <v>43087</v>
      </c>
      <c r="H24" s="61">
        <v>0.36349666666666669</v>
      </c>
      <c r="I24" s="55">
        <v>30</v>
      </c>
      <c r="J24" s="56" t="s">
        <v>227</v>
      </c>
      <c r="K24" s="75" t="s">
        <v>230</v>
      </c>
      <c r="L24" s="70">
        <v>0</v>
      </c>
    </row>
    <row r="25" spans="1:12" ht="15" customHeight="1">
      <c r="A25" s="53" t="s">
        <v>218</v>
      </c>
      <c r="B25" s="53" t="s">
        <v>38</v>
      </c>
      <c r="C25" s="54">
        <f t="shared" si="0"/>
        <v>43022.743020000002</v>
      </c>
      <c r="D25" s="54">
        <f t="shared" si="1"/>
        <v>43022.784686666666</v>
      </c>
      <c r="E25" s="63">
        <v>43022</v>
      </c>
      <c r="F25" s="61">
        <v>0.74302000000000001</v>
      </c>
      <c r="G25" s="63">
        <v>43022</v>
      </c>
      <c r="H25" s="61">
        <v>0.78468666666666664</v>
      </c>
      <c r="I25" s="55">
        <v>30</v>
      </c>
      <c r="J25" s="56" t="s">
        <v>229</v>
      </c>
      <c r="K25" s="75" t="s">
        <v>228</v>
      </c>
      <c r="L25" s="70">
        <v>0</v>
      </c>
    </row>
    <row r="26" spans="1:12" ht="15" customHeight="1">
      <c r="A26" s="53" t="s">
        <v>216</v>
      </c>
      <c r="B26" s="53" t="s">
        <v>39</v>
      </c>
      <c r="C26" s="54">
        <f t="shared" si="0"/>
        <v>43017.438869999998</v>
      </c>
      <c r="D26" s="54">
        <f t="shared" si="1"/>
        <v>43017.48053666667</v>
      </c>
      <c r="E26" s="63">
        <v>43017</v>
      </c>
      <c r="F26" s="61">
        <v>0.43886999999999998</v>
      </c>
      <c r="G26" s="63">
        <v>43017</v>
      </c>
      <c r="H26" s="61">
        <v>0.48053666666666667</v>
      </c>
      <c r="I26" s="55">
        <v>30</v>
      </c>
      <c r="J26" s="56" t="s">
        <v>232</v>
      </c>
      <c r="K26" s="75" t="s">
        <v>230</v>
      </c>
      <c r="L26" s="70">
        <v>0</v>
      </c>
    </row>
    <row r="27" spans="1:12" ht="15" customHeight="1">
      <c r="A27" s="53" t="s">
        <v>216</v>
      </c>
      <c r="B27" s="53" t="s">
        <v>40</v>
      </c>
      <c r="C27" s="54">
        <f t="shared" si="0"/>
        <v>42855.472990000002</v>
      </c>
      <c r="D27" s="54">
        <f t="shared" si="1"/>
        <v>42855.514656666666</v>
      </c>
      <c r="E27" s="63">
        <v>42855</v>
      </c>
      <c r="F27" s="61">
        <v>0.47299000000000002</v>
      </c>
      <c r="G27" s="63">
        <v>42855</v>
      </c>
      <c r="H27" s="61">
        <v>0.51465666666666665</v>
      </c>
      <c r="I27" s="55">
        <v>30</v>
      </c>
      <c r="J27" s="56" t="s">
        <v>227</v>
      </c>
      <c r="K27" s="75" t="s">
        <v>231</v>
      </c>
      <c r="L27" s="70">
        <v>0</v>
      </c>
    </row>
    <row r="28" spans="1:12" ht="15" customHeight="1">
      <c r="A28" s="53" t="s">
        <v>220</v>
      </c>
      <c r="B28" s="53" t="s">
        <v>41</v>
      </c>
      <c r="C28" s="54">
        <f t="shared" si="0"/>
        <v>42749.654029999998</v>
      </c>
      <c r="D28" s="54">
        <f t="shared" si="1"/>
        <v>42749.695696666669</v>
      </c>
      <c r="E28" s="63">
        <v>42749</v>
      </c>
      <c r="F28" s="61">
        <v>0.65403</v>
      </c>
      <c r="G28" s="63">
        <v>42749</v>
      </c>
      <c r="H28" s="61">
        <v>0.69569666666666663</v>
      </c>
      <c r="I28" s="55">
        <v>30</v>
      </c>
      <c r="J28" s="56" t="s">
        <v>229</v>
      </c>
      <c r="K28" s="75" t="s">
        <v>228</v>
      </c>
      <c r="L28" s="70">
        <v>0</v>
      </c>
    </row>
    <row r="29" spans="1:12" ht="15" customHeight="1">
      <c r="A29" s="53" t="s">
        <v>217</v>
      </c>
      <c r="B29" s="53" t="s">
        <v>42</v>
      </c>
      <c r="C29" s="54">
        <f t="shared" si="0"/>
        <v>42781.493410000003</v>
      </c>
      <c r="D29" s="54">
        <f t="shared" si="1"/>
        <v>42781.535076666667</v>
      </c>
      <c r="E29" s="63">
        <v>42781</v>
      </c>
      <c r="F29" s="61">
        <v>0.49341000000000002</v>
      </c>
      <c r="G29" s="63">
        <v>42781</v>
      </c>
      <c r="H29" s="61">
        <v>0.53507666666666664</v>
      </c>
      <c r="I29" s="55">
        <v>30</v>
      </c>
      <c r="J29" s="56" t="s">
        <v>227</v>
      </c>
      <c r="K29" s="75" t="s">
        <v>230</v>
      </c>
      <c r="L29" s="70">
        <v>0</v>
      </c>
    </row>
    <row r="30" spans="1:12" ht="15" customHeight="1">
      <c r="A30" s="53" t="s">
        <v>220</v>
      </c>
      <c r="B30" s="53" t="s">
        <v>43</v>
      </c>
      <c r="C30" s="54">
        <f t="shared" si="0"/>
        <v>42785.626089999998</v>
      </c>
      <c r="D30" s="54">
        <f t="shared" si="1"/>
        <v>42785.667756666669</v>
      </c>
      <c r="E30" s="63">
        <v>42785</v>
      </c>
      <c r="F30" s="61">
        <v>0.62609000000000004</v>
      </c>
      <c r="G30" s="63">
        <v>42785</v>
      </c>
      <c r="H30" s="61">
        <v>0.66775666666666667</v>
      </c>
      <c r="I30" s="55">
        <v>30</v>
      </c>
      <c r="J30" s="56" t="s">
        <v>229</v>
      </c>
      <c r="K30" s="75" t="s">
        <v>230</v>
      </c>
      <c r="L30" s="70">
        <v>0</v>
      </c>
    </row>
    <row r="31" spans="1:12" ht="15" customHeight="1">
      <c r="A31" s="53" t="s">
        <v>217</v>
      </c>
      <c r="B31" s="53" t="s">
        <v>44</v>
      </c>
      <c r="C31" s="54">
        <f t="shared" si="0"/>
        <v>42924.599950000003</v>
      </c>
      <c r="D31" s="54">
        <f t="shared" si="1"/>
        <v>42924.641616666668</v>
      </c>
      <c r="E31" s="63">
        <v>42924</v>
      </c>
      <c r="F31" s="61">
        <v>0.59994999999999998</v>
      </c>
      <c r="G31" s="63">
        <v>42924</v>
      </c>
      <c r="H31" s="61">
        <v>0.64161666666666661</v>
      </c>
      <c r="I31" s="55">
        <v>30</v>
      </c>
      <c r="J31" s="56" t="s">
        <v>232</v>
      </c>
      <c r="K31" s="75" t="s">
        <v>230</v>
      </c>
      <c r="L31" s="70">
        <v>0</v>
      </c>
    </row>
    <row r="32" spans="1:12" ht="15" customHeight="1">
      <c r="A32" s="53" t="s">
        <v>219</v>
      </c>
      <c r="B32" s="53" t="s">
        <v>45</v>
      </c>
      <c r="C32" s="54">
        <f t="shared" si="0"/>
        <v>42869.50735</v>
      </c>
      <c r="D32" s="54">
        <f t="shared" si="1"/>
        <v>42869.549016666664</v>
      </c>
      <c r="E32" s="63">
        <v>42869</v>
      </c>
      <c r="F32" s="61">
        <v>0.50734999999999997</v>
      </c>
      <c r="G32" s="63">
        <v>42869</v>
      </c>
      <c r="H32" s="61">
        <v>0.5490166666666666</v>
      </c>
      <c r="I32" s="55">
        <v>30</v>
      </c>
      <c r="J32" s="56" t="s">
        <v>229</v>
      </c>
      <c r="K32" s="75" t="s">
        <v>228</v>
      </c>
      <c r="L32" s="70">
        <v>0</v>
      </c>
    </row>
    <row r="33" spans="1:12" ht="15" customHeight="1">
      <c r="A33" s="53" t="s">
        <v>218</v>
      </c>
      <c r="B33" s="53" t="s">
        <v>46</v>
      </c>
      <c r="C33" s="54">
        <f t="shared" si="0"/>
        <v>42850.477339999998</v>
      </c>
      <c r="D33" s="54">
        <f t="shared" si="1"/>
        <v>42850.519006666669</v>
      </c>
      <c r="E33" s="63">
        <v>42850</v>
      </c>
      <c r="F33" s="61">
        <v>0.47733999999999999</v>
      </c>
      <c r="G33" s="63">
        <v>42850</v>
      </c>
      <c r="H33" s="61">
        <v>0.51900666666666662</v>
      </c>
      <c r="I33" s="55">
        <v>30</v>
      </c>
      <c r="J33" s="56" t="s">
        <v>227</v>
      </c>
      <c r="K33" s="75" t="s">
        <v>231</v>
      </c>
      <c r="L33" s="70">
        <v>0</v>
      </c>
    </row>
    <row r="34" spans="1:12" ht="15" customHeight="1">
      <c r="A34" s="53" t="s">
        <v>220</v>
      </c>
      <c r="B34" s="53" t="s">
        <v>47</v>
      </c>
      <c r="C34" s="54">
        <f t="shared" si="0"/>
        <v>42865.423340000001</v>
      </c>
      <c r="D34" s="54">
        <f t="shared" si="1"/>
        <v>42865.465006666665</v>
      </c>
      <c r="E34" s="63">
        <v>42865</v>
      </c>
      <c r="F34" s="61">
        <v>0.42333999999999999</v>
      </c>
      <c r="G34" s="63">
        <v>42865</v>
      </c>
      <c r="H34" s="61">
        <v>0.46500666666666668</v>
      </c>
      <c r="I34" s="55">
        <v>30</v>
      </c>
      <c r="J34" s="56" t="s">
        <v>232</v>
      </c>
      <c r="K34" s="75" t="s">
        <v>231</v>
      </c>
      <c r="L34" s="70">
        <v>0</v>
      </c>
    </row>
    <row r="35" spans="1:12" ht="15" customHeight="1">
      <c r="A35" s="53" t="s">
        <v>220</v>
      </c>
      <c r="B35" s="53" t="s">
        <v>48</v>
      </c>
      <c r="C35" s="54">
        <f t="shared" si="0"/>
        <v>42916.624109999997</v>
      </c>
      <c r="D35" s="54">
        <f t="shared" si="1"/>
        <v>42916.665776666669</v>
      </c>
      <c r="E35" s="63">
        <v>42916</v>
      </c>
      <c r="F35" s="61">
        <v>0.62411000000000005</v>
      </c>
      <c r="G35" s="63">
        <v>42916</v>
      </c>
      <c r="H35" s="61">
        <v>0.66577666666666668</v>
      </c>
      <c r="I35" s="55">
        <v>30</v>
      </c>
      <c r="J35" s="56" t="s">
        <v>229</v>
      </c>
      <c r="K35" s="75" t="s">
        <v>230</v>
      </c>
      <c r="L35" s="70">
        <v>0</v>
      </c>
    </row>
    <row r="36" spans="1:12" ht="15" customHeight="1">
      <c r="A36" s="53" t="s">
        <v>216</v>
      </c>
      <c r="B36" s="53" t="s">
        <v>49</v>
      </c>
      <c r="C36" s="54">
        <f t="shared" si="0"/>
        <v>42869.674489999998</v>
      </c>
      <c r="D36" s="54">
        <f t="shared" si="1"/>
        <v>42869.716156666669</v>
      </c>
      <c r="E36" s="63">
        <v>42869</v>
      </c>
      <c r="F36" s="61">
        <v>0.67449000000000003</v>
      </c>
      <c r="G36" s="63">
        <v>42869</v>
      </c>
      <c r="H36" s="61">
        <v>0.71615666666666666</v>
      </c>
      <c r="I36" s="55">
        <v>30</v>
      </c>
      <c r="J36" s="56" t="s">
        <v>229</v>
      </c>
      <c r="K36" s="75" t="s">
        <v>231</v>
      </c>
      <c r="L36" s="70">
        <v>0</v>
      </c>
    </row>
    <row r="37" spans="1:12" ht="15" customHeight="1">
      <c r="A37" s="53" t="s">
        <v>220</v>
      </c>
      <c r="B37" s="53" t="s">
        <v>50</v>
      </c>
      <c r="C37" s="54">
        <f t="shared" si="0"/>
        <v>43058.471799999999</v>
      </c>
      <c r="D37" s="54">
        <f t="shared" si="1"/>
        <v>43058.513466666664</v>
      </c>
      <c r="E37" s="63">
        <v>43058</v>
      </c>
      <c r="F37" s="61">
        <v>0.4718</v>
      </c>
      <c r="G37" s="63">
        <v>43058</v>
      </c>
      <c r="H37" s="61">
        <v>0.51346666666666663</v>
      </c>
      <c r="I37" s="55">
        <v>30</v>
      </c>
      <c r="J37" s="56" t="s">
        <v>227</v>
      </c>
      <c r="K37" s="75" t="s">
        <v>228</v>
      </c>
      <c r="L37" s="70">
        <v>0</v>
      </c>
    </row>
    <row r="38" spans="1:12" ht="15" customHeight="1">
      <c r="A38" s="53" t="s">
        <v>218</v>
      </c>
      <c r="B38" s="53" t="s">
        <v>51</v>
      </c>
      <c r="C38" s="54">
        <f t="shared" si="0"/>
        <v>42832.345959999999</v>
      </c>
      <c r="D38" s="54">
        <f t="shared" si="1"/>
        <v>42832.38762666667</v>
      </c>
      <c r="E38" s="63">
        <v>42832</v>
      </c>
      <c r="F38" s="61">
        <v>0.34595999999999999</v>
      </c>
      <c r="G38" s="63">
        <v>42832</v>
      </c>
      <c r="H38" s="61">
        <v>0.38762666666666667</v>
      </c>
      <c r="I38" s="55">
        <v>30</v>
      </c>
      <c r="J38" s="56" t="s">
        <v>232</v>
      </c>
      <c r="K38" s="75" t="s">
        <v>228</v>
      </c>
      <c r="L38" s="70">
        <v>0</v>
      </c>
    </row>
    <row r="39" spans="1:12" ht="15" customHeight="1">
      <c r="A39" s="53" t="s">
        <v>216</v>
      </c>
      <c r="B39" s="53" t="s">
        <v>52</v>
      </c>
      <c r="C39" s="54">
        <f t="shared" si="0"/>
        <v>42893.406990000003</v>
      </c>
      <c r="D39" s="54">
        <f t="shared" si="1"/>
        <v>42893.448656666667</v>
      </c>
      <c r="E39" s="63">
        <v>42893</v>
      </c>
      <c r="F39" s="61">
        <v>0.40699000000000002</v>
      </c>
      <c r="G39" s="63">
        <v>42893</v>
      </c>
      <c r="H39" s="61">
        <v>0.4486566666666667</v>
      </c>
      <c r="I39" s="55">
        <v>30</v>
      </c>
      <c r="J39" s="56" t="s">
        <v>227</v>
      </c>
      <c r="K39" s="75" t="s">
        <v>231</v>
      </c>
      <c r="L39" s="70">
        <v>0</v>
      </c>
    </row>
    <row r="40" spans="1:12" ht="15" customHeight="1">
      <c r="A40" s="53" t="s">
        <v>219</v>
      </c>
      <c r="B40" s="53" t="s">
        <v>53</v>
      </c>
      <c r="C40" s="54">
        <f t="shared" si="0"/>
        <v>42827.734369999998</v>
      </c>
      <c r="D40" s="54">
        <f t="shared" si="1"/>
        <v>42827.77603666667</v>
      </c>
      <c r="E40" s="63">
        <v>42827</v>
      </c>
      <c r="F40" s="61">
        <v>0.73436999999999997</v>
      </c>
      <c r="G40" s="63">
        <v>42827</v>
      </c>
      <c r="H40" s="61">
        <v>0.7760366666666666</v>
      </c>
      <c r="I40" s="55">
        <v>30</v>
      </c>
      <c r="J40" s="56" t="s">
        <v>227</v>
      </c>
      <c r="K40" s="75" t="s">
        <v>228</v>
      </c>
      <c r="L40" s="70">
        <v>0</v>
      </c>
    </row>
    <row r="41" spans="1:12" ht="15" customHeight="1">
      <c r="A41" s="53" t="s">
        <v>219</v>
      </c>
      <c r="B41" s="53" t="s">
        <v>54</v>
      </c>
      <c r="C41" s="54">
        <f t="shared" si="0"/>
        <v>43014.393799999998</v>
      </c>
      <c r="D41" s="54">
        <f t="shared" si="1"/>
        <v>43014.43546666667</v>
      </c>
      <c r="E41" s="63">
        <v>43014</v>
      </c>
      <c r="F41" s="61">
        <v>0.39379999999999998</v>
      </c>
      <c r="G41" s="63">
        <v>43014</v>
      </c>
      <c r="H41" s="61">
        <v>0.43546666666666667</v>
      </c>
      <c r="I41" s="55">
        <v>30</v>
      </c>
      <c r="J41" s="56" t="s">
        <v>227</v>
      </c>
      <c r="K41" s="75" t="s">
        <v>231</v>
      </c>
      <c r="L41" s="70">
        <v>0</v>
      </c>
    </row>
    <row r="42" spans="1:12" ht="15" customHeight="1">
      <c r="A42" s="53" t="s">
        <v>218</v>
      </c>
      <c r="B42" s="53" t="s">
        <v>55</v>
      </c>
      <c r="C42" s="54">
        <f t="shared" si="0"/>
        <v>42805.73257</v>
      </c>
      <c r="D42" s="54">
        <f t="shared" si="1"/>
        <v>42805.774236666664</v>
      </c>
      <c r="E42" s="63">
        <v>42805</v>
      </c>
      <c r="F42" s="61">
        <v>0.73257000000000005</v>
      </c>
      <c r="G42" s="63">
        <v>42805</v>
      </c>
      <c r="H42" s="61">
        <v>0.77423666666666668</v>
      </c>
      <c r="I42" s="55">
        <v>30</v>
      </c>
      <c r="J42" s="56" t="s">
        <v>227</v>
      </c>
      <c r="K42" s="75" t="s">
        <v>231</v>
      </c>
      <c r="L42" s="70">
        <v>0</v>
      </c>
    </row>
    <row r="43" spans="1:12" ht="15" customHeight="1">
      <c r="A43" s="53" t="s">
        <v>220</v>
      </c>
      <c r="B43" s="53" t="s">
        <v>56</v>
      </c>
      <c r="C43" s="54">
        <f t="shared" si="0"/>
        <v>42787.363810000003</v>
      </c>
      <c r="D43" s="54">
        <f t="shared" si="1"/>
        <v>42787.405476666667</v>
      </c>
      <c r="E43" s="63">
        <v>42787</v>
      </c>
      <c r="F43" s="61">
        <v>0.36381000000000002</v>
      </c>
      <c r="G43" s="63">
        <v>42787</v>
      </c>
      <c r="H43" s="61">
        <v>0.40547666666666671</v>
      </c>
      <c r="I43" s="55">
        <v>30</v>
      </c>
      <c r="J43" s="56" t="s">
        <v>229</v>
      </c>
      <c r="K43" s="75" t="s">
        <v>231</v>
      </c>
      <c r="L43" s="70">
        <v>0</v>
      </c>
    </row>
    <row r="44" spans="1:12" ht="15" customHeight="1">
      <c r="A44" s="53" t="s">
        <v>220</v>
      </c>
      <c r="B44" s="53" t="s">
        <v>57</v>
      </c>
      <c r="C44" s="54">
        <f t="shared" si="0"/>
        <v>42781.526129999998</v>
      </c>
      <c r="D44" s="54">
        <f t="shared" si="1"/>
        <v>42781.56779666667</v>
      </c>
      <c r="E44" s="63">
        <v>42781</v>
      </c>
      <c r="F44" s="61">
        <v>0.52612999999999999</v>
      </c>
      <c r="G44" s="63">
        <v>42781</v>
      </c>
      <c r="H44" s="61">
        <v>0.56779666666666662</v>
      </c>
      <c r="I44" s="55">
        <v>30</v>
      </c>
      <c r="J44" s="56" t="s">
        <v>227</v>
      </c>
      <c r="K44" s="75" t="s">
        <v>228</v>
      </c>
      <c r="L44" s="70">
        <v>0</v>
      </c>
    </row>
    <row r="45" spans="1:12" ht="15" customHeight="1">
      <c r="A45" s="53" t="s">
        <v>220</v>
      </c>
      <c r="B45" s="53" t="s">
        <v>58</v>
      </c>
      <c r="C45" s="54">
        <f t="shared" si="0"/>
        <v>43077.320919999998</v>
      </c>
      <c r="D45" s="54">
        <f t="shared" si="1"/>
        <v>43077.36258666667</v>
      </c>
      <c r="E45" s="63">
        <v>43077</v>
      </c>
      <c r="F45" s="61">
        <v>0.32091999999999998</v>
      </c>
      <c r="G45" s="63">
        <v>43077</v>
      </c>
      <c r="H45" s="61">
        <v>0.36258666666666667</v>
      </c>
      <c r="I45" s="55">
        <v>30</v>
      </c>
      <c r="J45" s="56" t="s">
        <v>227</v>
      </c>
      <c r="K45" s="75" t="s">
        <v>228</v>
      </c>
      <c r="L45" s="70">
        <v>0</v>
      </c>
    </row>
    <row r="46" spans="1:12" ht="15" customHeight="1">
      <c r="A46" s="53" t="s">
        <v>220</v>
      </c>
      <c r="B46" s="53" t="s">
        <v>59</v>
      </c>
      <c r="C46" s="54">
        <f t="shared" si="0"/>
        <v>42966.524270000002</v>
      </c>
      <c r="D46" s="54">
        <f t="shared" si="1"/>
        <v>42966.565936666666</v>
      </c>
      <c r="E46" s="63">
        <v>42966</v>
      </c>
      <c r="F46" s="61">
        <v>0.52427000000000001</v>
      </c>
      <c r="G46" s="63">
        <v>42966</v>
      </c>
      <c r="H46" s="61">
        <v>0.56593666666666664</v>
      </c>
      <c r="I46" s="55">
        <v>30</v>
      </c>
      <c r="J46" s="56" t="s">
        <v>227</v>
      </c>
      <c r="K46" s="75" t="s">
        <v>230</v>
      </c>
      <c r="L46" s="70">
        <v>0</v>
      </c>
    </row>
    <row r="47" spans="1:12" ht="15" customHeight="1">
      <c r="A47" s="53" t="s">
        <v>220</v>
      </c>
      <c r="B47" s="53" t="s">
        <v>60</v>
      </c>
      <c r="C47" s="54">
        <f t="shared" si="0"/>
        <v>43052.328300000001</v>
      </c>
      <c r="D47" s="54">
        <f t="shared" si="1"/>
        <v>43052.369966666665</v>
      </c>
      <c r="E47" s="63">
        <v>43052</v>
      </c>
      <c r="F47" s="61">
        <v>0.32829999999999998</v>
      </c>
      <c r="G47" s="63">
        <v>43052</v>
      </c>
      <c r="H47" s="61">
        <v>0.36996666666666667</v>
      </c>
      <c r="I47" s="55">
        <v>30</v>
      </c>
      <c r="J47" s="56" t="s">
        <v>232</v>
      </c>
      <c r="K47" s="75" t="s">
        <v>230</v>
      </c>
      <c r="L47" s="70">
        <v>0</v>
      </c>
    </row>
    <row r="48" spans="1:12" ht="15" customHeight="1">
      <c r="A48" s="53" t="s">
        <v>220</v>
      </c>
      <c r="B48" s="53" t="s">
        <v>61</v>
      </c>
      <c r="C48" s="54">
        <f t="shared" si="0"/>
        <v>42772.313979999999</v>
      </c>
      <c r="D48" s="54">
        <f t="shared" si="1"/>
        <v>42772.355646666663</v>
      </c>
      <c r="E48" s="63">
        <v>42772</v>
      </c>
      <c r="F48" s="61">
        <v>0.31397999999999998</v>
      </c>
      <c r="G48" s="63">
        <v>42772</v>
      </c>
      <c r="H48" s="61">
        <v>0.35564666666666667</v>
      </c>
      <c r="I48" s="55">
        <v>30</v>
      </c>
      <c r="J48" s="56" t="s">
        <v>232</v>
      </c>
      <c r="K48" s="75" t="s">
        <v>228</v>
      </c>
      <c r="L48" s="70">
        <v>0</v>
      </c>
    </row>
    <row r="49" spans="1:12" ht="15" customHeight="1">
      <c r="A49" s="53" t="s">
        <v>220</v>
      </c>
      <c r="B49" s="53" t="s">
        <v>62</v>
      </c>
      <c r="C49" s="54">
        <f t="shared" si="0"/>
        <v>42803.453829999999</v>
      </c>
      <c r="D49" s="54">
        <f t="shared" si="1"/>
        <v>42803.49549666667</v>
      </c>
      <c r="E49" s="63">
        <v>42803</v>
      </c>
      <c r="F49" s="61">
        <v>0.45383000000000001</v>
      </c>
      <c r="G49" s="63">
        <v>42803</v>
      </c>
      <c r="H49" s="61">
        <v>0.4954966666666667</v>
      </c>
      <c r="I49" s="55">
        <v>30</v>
      </c>
      <c r="J49" s="56" t="s">
        <v>227</v>
      </c>
      <c r="K49" s="75" t="s">
        <v>231</v>
      </c>
      <c r="L49" s="70">
        <v>0</v>
      </c>
    </row>
    <row r="50" spans="1:12" ht="15" customHeight="1">
      <c r="A50" s="53" t="s">
        <v>220</v>
      </c>
      <c r="B50" s="53" t="s">
        <v>63</v>
      </c>
      <c r="C50" s="54">
        <f t="shared" si="0"/>
        <v>42825.455320000001</v>
      </c>
      <c r="D50" s="54">
        <f t="shared" si="1"/>
        <v>42825.496986666665</v>
      </c>
      <c r="E50" s="63">
        <v>42825</v>
      </c>
      <c r="F50" s="61">
        <v>0.45532</v>
      </c>
      <c r="G50" s="63">
        <v>42825</v>
      </c>
      <c r="H50" s="61">
        <v>0.49698666666666669</v>
      </c>
      <c r="I50" s="55">
        <v>30</v>
      </c>
      <c r="J50" s="56" t="s">
        <v>232</v>
      </c>
      <c r="K50" s="75" t="s">
        <v>230</v>
      </c>
      <c r="L50" s="70">
        <v>0</v>
      </c>
    </row>
    <row r="51" spans="1:12" ht="15" customHeight="1">
      <c r="A51" s="53" t="s">
        <v>220</v>
      </c>
      <c r="B51" s="53" t="s">
        <v>64</v>
      </c>
      <c r="C51" s="54">
        <f t="shared" si="0"/>
        <v>42817.399210000003</v>
      </c>
      <c r="D51" s="54">
        <f t="shared" si="1"/>
        <v>42817.440876666667</v>
      </c>
      <c r="E51" s="63">
        <v>42817</v>
      </c>
      <c r="F51" s="61">
        <v>0.39921000000000001</v>
      </c>
      <c r="G51" s="63">
        <v>42817</v>
      </c>
      <c r="H51" s="61">
        <v>0.44087666666666669</v>
      </c>
      <c r="I51" s="55">
        <v>30</v>
      </c>
      <c r="J51" s="56" t="s">
        <v>227</v>
      </c>
      <c r="K51" s="75" t="s">
        <v>231</v>
      </c>
      <c r="L51" s="70">
        <v>0</v>
      </c>
    </row>
    <row r="52" spans="1:12" ht="15" customHeight="1">
      <c r="A52" s="53" t="s">
        <v>220</v>
      </c>
      <c r="B52" s="53" t="s">
        <v>65</v>
      </c>
      <c r="C52" s="54">
        <f t="shared" si="0"/>
        <v>42869.390079999997</v>
      </c>
      <c r="D52" s="54">
        <f t="shared" si="1"/>
        <v>42869.431746666669</v>
      </c>
      <c r="E52" s="63">
        <v>42869</v>
      </c>
      <c r="F52" s="61">
        <v>0.39007999999999998</v>
      </c>
      <c r="G52" s="63">
        <v>42869</v>
      </c>
      <c r="H52" s="61">
        <v>0.43174666666666667</v>
      </c>
      <c r="I52" s="55">
        <v>30</v>
      </c>
      <c r="J52" s="56" t="s">
        <v>227</v>
      </c>
      <c r="K52" s="75" t="s">
        <v>231</v>
      </c>
      <c r="L52" s="70">
        <v>0</v>
      </c>
    </row>
    <row r="53" spans="1:12" ht="15" customHeight="1">
      <c r="A53" s="53" t="s">
        <v>220</v>
      </c>
      <c r="B53" s="53" t="s">
        <v>66</v>
      </c>
      <c r="C53" s="54">
        <f t="shared" si="0"/>
        <v>42830.36825</v>
      </c>
      <c r="D53" s="54">
        <f t="shared" si="1"/>
        <v>42830.409916666664</v>
      </c>
      <c r="E53" s="63">
        <v>42830</v>
      </c>
      <c r="F53" s="61">
        <v>0.36825000000000002</v>
      </c>
      <c r="G53" s="63">
        <v>42830</v>
      </c>
      <c r="H53" s="61">
        <v>0.40991666666666671</v>
      </c>
      <c r="I53" s="55">
        <v>30</v>
      </c>
      <c r="J53" s="56" t="s">
        <v>232</v>
      </c>
      <c r="K53" s="75" t="s">
        <v>228</v>
      </c>
      <c r="L53" s="70">
        <v>0</v>
      </c>
    </row>
    <row r="54" spans="1:12" ht="15" customHeight="1">
      <c r="A54" s="53" t="s">
        <v>220</v>
      </c>
      <c r="B54" s="53" t="s">
        <v>67</v>
      </c>
      <c r="C54" s="54">
        <f t="shared" si="0"/>
        <v>43012.536809999998</v>
      </c>
      <c r="D54" s="54">
        <f t="shared" si="1"/>
        <v>43012.578476666669</v>
      </c>
      <c r="E54" s="63">
        <v>43012</v>
      </c>
      <c r="F54" s="61">
        <v>0.53681000000000001</v>
      </c>
      <c r="G54" s="63">
        <v>43012</v>
      </c>
      <c r="H54" s="61">
        <v>0.57847666666666664</v>
      </c>
      <c r="I54" s="55">
        <v>30</v>
      </c>
      <c r="J54" s="56" t="s">
        <v>229</v>
      </c>
      <c r="K54" s="75" t="s">
        <v>230</v>
      </c>
      <c r="L54" s="70">
        <v>0</v>
      </c>
    </row>
    <row r="55" spans="1:12" ht="15" customHeight="1">
      <c r="A55" s="53" t="s">
        <v>220</v>
      </c>
      <c r="B55" s="53" t="s">
        <v>68</v>
      </c>
      <c r="C55" s="54">
        <f t="shared" si="0"/>
        <v>42863.743309999998</v>
      </c>
      <c r="D55" s="54">
        <f t="shared" si="1"/>
        <v>42863.78497666667</v>
      </c>
      <c r="E55" s="63">
        <v>42863</v>
      </c>
      <c r="F55" s="61">
        <v>0.74331000000000003</v>
      </c>
      <c r="G55" s="63">
        <v>42863</v>
      </c>
      <c r="H55" s="61">
        <v>0.78497666666666666</v>
      </c>
      <c r="I55" s="55">
        <v>30</v>
      </c>
      <c r="J55" s="56" t="s">
        <v>227</v>
      </c>
      <c r="K55" s="75" t="s">
        <v>231</v>
      </c>
      <c r="L55" s="70">
        <v>0</v>
      </c>
    </row>
    <row r="56" spans="1:12" ht="15" customHeight="1">
      <c r="A56" s="53" t="s">
        <v>220</v>
      </c>
      <c r="B56" s="53" t="s">
        <v>69</v>
      </c>
      <c r="C56" s="54">
        <f t="shared" si="0"/>
        <v>42841.700570000001</v>
      </c>
      <c r="D56" s="54">
        <f t="shared" si="1"/>
        <v>42841.742236666665</v>
      </c>
      <c r="E56" s="63">
        <v>42841</v>
      </c>
      <c r="F56" s="61">
        <v>0.70057000000000003</v>
      </c>
      <c r="G56" s="63">
        <v>42841</v>
      </c>
      <c r="H56" s="61">
        <v>0.74223666666666666</v>
      </c>
      <c r="I56" s="55">
        <v>30</v>
      </c>
      <c r="J56" s="56" t="s">
        <v>232</v>
      </c>
      <c r="K56" s="75" t="s">
        <v>228</v>
      </c>
      <c r="L56" s="70">
        <v>0</v>
      </c>
    </row>
    <row r="57" spans="1:12" ht="15" customHeight="1">
      <c r="A57" s="53" t="s">
        <v>220</v>
      </c>
      <c r="B57" s="53" t="s">
        <v>70</v>
      </c>
      <c r="C57" s="54">
        <f t="shared" si="0"/>
        <v>42935.747049999998</v>
      </c>
      <c r="D57" s="54">
        <f t="shared" si="1"/>
        <v>42935.78871666667</v>
      </c>
      <c r="E57" s="63">
        <v>42935</v>
      </c>
      <c r="F57" s="61">
        <v>0.74704999999999999</v>
      </c>
      <c r="G57" s="63">
        <v>42935</v>
      </c>
      <c r="H57" s="61">
        <v>0.78871666666666662</v>
      </c>
      <c r="I57" s="55">
        <v>30</v>
      </c>
      <c r="J57" s="56" t="s">
        <v>227</v>
      </c>
      <c r="K57" s="75" t="s">
        <v>231</v>
      </c>
      <c r="L57" s="70">
        <v>0</v>
      </c>
    </row>
    <row r="58" spans="1:12" ht="15" customHeight="1">
      <c r="A58" s="53" t="s">
        <v>220</v>
      </c>
      <c r="B58" s="53" t="s">
        <v>71</v>
      </c>
      <c r="C58" s="54">
        <f t="shared" si="0"/>
        <v>42911.754699999998</v>
      </c>
      <c r="D58" s="54">
        <f t="shared" si="1"/>
        <v>42911.796366666669</v>
      </c>
      <c r="E58" s="63">
        <v>42911</v>
      </c>
      <c r="F58" s="61">
        <v>0.75470000000000004</v>
      </c>
      <c r="G58" s="63">
        <v>42911</v>
      </c>
      <c r="H58" s="61">
        <v>0.79636666666666667</v>
      </c>
      <c r="I58" s="55">
        <v>30</v>
      </c>
      <c r="J58" s="56" t="s">
        <v>227</v>
      </c>
      <c r="K58" s="75" t="s">
        <v>231</v>
      </c>
      <c r="L58" s="70">
        <v>0</v>
      </c>
    </row>
    <row r="59" spans="1:12" ht="15" customHeight="1">
      <c r="A59" s="53" t="s">
        <v>220</v>
      </c>
      <c r="B59" s="57" t="s">
        <v>72</v>
      </c>
      <c r="C59" s="54">
        <f t="shared" si="0"/>
        <v>42917.435850000002</v>
      </c>
      <c r="D59" s="54">
        <f t="shared" si="1"/>
        <v>42917.477516666666</v>
      </c>
      <c r="E59" s="63">
        <v>42917</v>
      </c>
      <c r="F59" s="61">
        <v>0.43585000000000002</v>
      </c>
      <c r="G59" s="63">
        <v>42917</v>
      </c>
      <c r="H59" s="61">
        <v>0.4775166666666667</v>
      </c>
      <c r="I59" s="55">
        <v>30</v>
      </c>
      <c r="J59" s="56" t="s">
        <v>227</v>
      </c>
      <c r="K59" s="75" t="s">
        <v>230</v>
      </c>
      <c r="L59" s="70">
        <v>0</v>
      </c>
    </row>
    <row r="60" spans="1:12" ht="15" customHeight="1">
      <c r="A60" s="53" t="s">
        <v>220</v>
      </c>
      <c r="B60" s="53" t="s">
        <v>73</v>
      </c>
      <c r="C60" s="54">
        <f t="shared" si="0"/>
        <v>42978.51786</v>
      </c>
      <c r="D60" s="54">
        <f t="shared" si="1"/>
        <v>42978.559526666664</v>
      </c>
      <c r="E60" s="63">
        <v>42978</v>
      </c>
      <c r="F60" s="61">
        <v>0.51785999999999999</v>
      </c>
      <c r="G60" s="63">
        <v>42978</v>
      </c>
      <c r="H60" s="61">
        <v>0.55952666666666662</v>
      </c>
      <c r="I60" s="55">
        <v>30</v>
      </c>
      <c r="J60" s="56" t="s">
        <v>227</v>
      </c>
      <c r="K60" s="75" t="s">
        <v>231</v>
      </c>
      <c r="L60" s="70">
        <v>0</v>
      </c>
    </row>
    <row r="61" spans="1:12" ht="15" customHeight="1">
      <c r="A61" s="53" t="s">
        <v>220</v>
      </c>
      <c r="B61" s="53" t="s">
        <v>74</v>
      </c>
      <c r="C61" s="54">
        <f t="shared" si="0"/>
        <v>43036.45897</v>
      </c>
      <c r="D61" s="54">
        <f t="shared" si="1"/>
        <v>43036.500636666664</v>
      </c>
      <c r="E61" s="63">
        <v>43036</v>
      </c>
      <c r="F61" s="61">
        <v>0.45896999999999999</v>
      </c>
      <c r="G61" s="63">
        <v>43036</v>
      </c>
      <c r="H61" s="61">
        <v>0.50063666666666662</v>
      </c>
      <c r="I61" s="55">
        <v>30</v>
      </c>
      <c r="J61" s="56" t="s">
        <v>232</v>
      </c>
      <c r="K61" s="75" t="s">
        <v>231</v>
      </c>
      <c r="L61" s="70">
        <v>0</v>
      </c>
    </row>
    <row r="62" spans="1:12" ht="15" customHeight="1">
      <c r="A62" s="53" t="s">
        <v>220</v>
      </c>
      <c r="B62" s="53" t="s">
        <v>75</v>
      </c>
      <c r="C62" s="54">
        <f t="shared" si="0"/>
        <v>42799.61002</v>
      </c>
      <c r="D62" s="54">
        <f t="shared" si="1"/>
        <v>42799.651686666664</v>
      </c>
      <c r="E62" s="63">
        <v>42799</v>
      </c>
      <c r="F62" s="61">
        <v>0.61002000000000001</v>
      </c>
      <c r="G62" s="63">
        <v>42799</v>
      </c>
      <c r="H62" s="61">
        <v>0.65168666666666664</v>
      </c>
      <c r="I62" s="55">
        <v>30</v>
      </c>
      <c r="J62" s="56" t="s">
        <v>227</v>
      </c>
      <c r="K62" s="75" t="s">
        <v>230</v>
      </c>
      <c r="L62" s="70">
        <v>0</v>
      </c>
    </row>
    <row r="63" spans="1:12" ht="15" customHeight="1">
      <c r="A63" s="53" t="s">
        <v>220</v>
      </c>
      <c r="B63" s="53" t="s">
        <v>76</v>
      </c>
      <c r="C63" s="54">
        <f t="shared" si="0"/>
        <v>43021.609669999998</v>
      </c>
      <c r="D63" s="54">
        <f t="shared" si="1"/>
        <v>43021.65133666667</v>
      </c>
      <c r="E63" s="63">
        <v>43021</v>
      </c>
      <c r="F63" s="61">
        <v>0.60967000000000005</v>
      </c>
      <c r="G63" s="63">
        <v>43021</v>
      </c>
      <c r="H63" s="61">
        <v>0.65133666666666667</v>
      </c>
      <c r="I63" s="55">
        <v>30</v>
      </c>
      <c r="J63" s="56" t="s">
        <v>232</v>
      </c>
      <c r="K63" s="75" t="s">
        <v>228</v>
      </c>
      <c r="L63" s="70">
        <v>0</v>
      </c>
    </row>
    <row r="64" spans="1:12" ht="15" customHeight="1">
      <c r="A64" s="53" t="s">
        <v>220</v>
      </c>
      <c r="B64" s="53" t="s">
        <v>77</v>
      </c>
      <c r="C64" s="54">
        <f t="shared" si="0"/>
        <v>42829.708279999999</v>
      </c>
      <c r="D64" s="54">
        <f t="shared" si="1"/>
        <v>42829.749946666663</v>
      </c>
      <c r="E64" s="63">
        <v>42829</v>
      </c>
      <c r="F64" s="61">
        <v>0.70828000000000002</v>
      </c>
      <c r="G64" s="63">
        <v>42829</v>
      </c>
      <c r="H64" s="61">
        <v>0.74994666666666665</v>
      </c>
      <c r="I64" s="55">
        <v>30</v>
      </c>
      <c r="J64" s="56" t="s">
        <v>232</v>
      </c>
      <c r="K64" s="75" t="s">
        <v>231</v>
      </c>
      <c r="L64" s="70">
        <v>0</v>
      </c>
    </row>
    <row r="65" spans="1:12" ht="15" customHeight="1">
      <c r="A65" s="53" t="s">
        <v>220</v>
      </c>
      <c r="B65" s="53" t="s">
        <v>78</v>
      </c>
      <c r="C65" s="54">
        <f t="shared" si="0"/>
        <v>42778.45824</v>
      </c>
      <c r="D65" s="54">
        <f t="shared" si="1"/>
        <v>42778.499906666664</v>
      </c>
      <c r="E65" s="63">
        <v>42778</v>
      </c>
      <c r="F65" s="61">
        <v>0.45823999999999998</v>
      </c>
      <c r="G65" s="63">
        <v>42778</v>
      </c>
      <c r="H65" s="61">
        <v>0.49990666666666667</v>
      </c>
      <c r="I65" s="55">
        <v>30</v>
      </c>
      <c r="J65" s="56" t="s">
        <v>232</v>
      </c>
      <c r="K65" s="75" t="s">
        <v>231</v>
      </c>
      <c r="L65" s="70">
        <v>0</v>
      </c>
    </row>
    <row r="66" spans="1:12" ht="15" customHeight="1">
      <c r="A66" s="53" t="s">
        <v>220</v>
      </c>
      <c r="B66" s="53" t="s">
        <v>79</v>
      </c>
      <c r="C66" s="54">
        <f t="shared" si="0"/>
        <v>42830.744859999999</v>
      </c>
      <c r="D66" s="54">
        <f t="shared" si="1"/>
        <v>42830.786526666663</v>
      </c>
      <c r="E66" s="63">
        <v>42830</v>
      </c>
      <c r="F66" s="61">
        <v>0.74485999999999997</v>
      </c>
      <c r="G66" s="63">
        <v>42830</v>
      </c>
      <c r="H66" s="61">
        <v>0.7865266666666666</v>
      </c>
      <c r="I66" s="55">
        <v>30</v>
      </c>
      <c r="J66" s="56" t="s">
        <v>227</v>
      </c>
      <c r="K66" s="75" t="s">
        <v>228</v>
      </c>
      <c r="L66" s="70">
        <v>0</v>
      </c>
    </row>
    <row r="67" spans="1:12" ht="15" customHeight="1">
      <c r="A67" s="53" t="s">
        <v>220</v>
      </c>
      <c r="B67" s="53" t="s">
        <v>80</v>
      </c>
      <c r="C67" s="54">
        <f t="shared" ref="C67:C130" si="2">E67+F67</f>
        <v>42927.40554</v>
      </c>
      <c r="D67" s="54">
        <f t="shared" ref="D67:D130" si="3">G67+H67</f>
        <v>42927.447206666664</v>
      </c>
      <c r="E67" s="63">
        <v>42927</v>
      </c>
      <c r="F67" s="61">
        <v>0.40554000000000001</v>
      </c>
      <c r="G67" s="63">
        <v>42927</v>
      </c>
      <c r="H67" s="61">
        <v>0.4472066666666667</v>
      </c>
      <c r="I67" s="55">
        <v>30</v>
      </c>
      <c r="J67" s="56" t="s">
        <v>232</v>
      </c>
      <c r="K67" s="75" t="s">
        <v>228</v>
      </c>
      <c r="L67" s="70">
        <v>0</v>
      </c>
    </row>
    <row r="68" spans="1:12" ht="15" customHeight="1">
      <c r="A68" s="53" t="s">
        <v>220</v>
      </c>
      <c r="B68" s="53" t="s">
        <v>81</v>
      </c>
      <c r="C68" s="54">
        <f t="shared" si="2"/>
        <v>42859.54681</v>
      </c>
      <c r="D68" s="54">
        <f t="shared" si="3"/>
        <v>42859.588476666664</v>
      </c>
      <c r="E68" s="63">
        <v>42859</v>
      </c>
      <c r="F68" s="61">
        <v>0.54681000000000002</v>
      </c>
      <c r="G68" s="63">
        <v>42859</v>
      </c>
      <c r="H68" s="61">
        <v>0.58847666666666665</v>
      </c>
      <c r="I68" s="55">
        <v>30</v>
      </c>
      <c r="J68" s="56" t="s">
        <v>232</v>
      </c>
      <c r="K68" s="75" t="s">
        <v>228</v>
      </c>
      <c r="L68" s="70">
        <v>0</v>
      </c>
    </row>
    <row r="69" spans="1:12" ht="15" customHeight="1">
      <c r="A69" s="53" t="s">
        <v>220</v>
      </c>
      <c r="B69" s="53" t="s">
        <v>82</v>
      </c>
      <c r="C69" s="54">
        <f t="shared" si="2"/>
        <v>42795.664089999998</v>
      </c>
      <c r="D69" s="54">
        <f t="shared" si="3"/>
        <v>42795.70575666667</v>
      </c>
      <c r="E69" s="63">
        <v>42795</v>
      </c>
      <c r="F69" s="61">
        <v>0.66408999999999996</v>
      </c>
      <c r="G69" s="63">
        <v>42795</v>
      </c>
      <c r="H69" s="61">
        <v>0.70575666666666659</v>
      </c>
      <c r="I69" s="55">
        <v>30</v>
      </c>
      <c r="J69" s="56" t="s">
        <v>227</v>
      </c>
      <c r="K69" s="75" t="s">
        <v>228</v>
      </c>
      <c r="L69" s="70">
        <v>0</v>
      </c>
    </row>
    <row r="70" spans="1:12" ht="15" customHeight="1">
      <c r="A70" s="53" t="s">
        <v>220</v>
      </c>
      <c r="B70" s="53" t="s">
        <v>83</v>
      </c>
      <c r="C70" s="54">
        <f t="shared" si="2"/>
        <v>42816.631529999999</v>
      </c>
      <c r="D70" s="54">
        <f t="shared" si="3"/>
        <v>42816.67319666667</v>
      </c>
      <c r="E70" s="63">
        <v>42816</v>
      </c>
      <c r="F70" s="61">
        <v>0.63153000000000004</v>
      </c>
      <c r="G70" s="63">
        <v>42816</v>
      </c>
      <c r="H70" s="61">
        <v>0.67319666666666667</v>
      </c>
      <c r="I70" s="55">
        <v>30</v>
      </c>
      <c r="J70" s="56" t="s">
        <v>227</v>
      </c>
      <c r="K70" s="75" t="s">
        <v>228</v>
      </c>
      <c r="L70" s="70">
        <v>0</v>
      </c>
    </row>
    <row r="71" spans="1:12" ht="15" customHeight="1">
      <c r="A71" s="53" t="s">
        <v>220</v>
      </c>
      <c r="B71" s="53" t="s">
        <v>84</v>
      </c>
      <c r="C71" s="54">
        <f t="shared" si="2"/>
        <v>43029.371599999999</v>
      </c>
      <c r="D71" s="54">
        <f t="shared" si="3"/>
        <v>43029.41326666667</v>
      </c>
      <c r="E71" s="63">
        <v>43029</v>
      </c>
      <c r="F71" s="61">
        <v>0.37159999999999999</v>
      </c>
      <c r="G71" s="63">
        <v>43029</v>
      </c>
      <c r="H71" s="61">
        <v>0.41326666666666667</v>
      </c>
      <c r="I71" s="55">
        <v>30</v>
      </c>
      <c r="J71" s="56" t="s">
        <v>232</v>
      </c>
      <c r="K71" s="75" t="s">
        <v>228</v>
      </c>
      <c r="L71" s="70">
        <v>0</v>
      </c>
    </row>
    <row r="72" spans="1:12" ht="15" customHeight="1">
      <c r="A72" s="53" t="s">
        <v>220</v>
      </c>
      <c r="B72" s="53" t="s">
        <v>85</v>
      </c>
      <c r="C72" s="54">
        <f t="shared" si="2"/>
        <v>42885.426910000002</v>
      </c>
      <c r="D72" s="54">
        <f t="shared" si="3"/>
        <v>42885.468576666666</v>
      </c>
      <c r="E72" s="63">
        <v>42885</v>
      </c>
      <c r="F72" s="61">
        <v>0.42691000000000001</v>
      </c>
      <c r="G72" s="63">
        <v>42885</v>
      </c>
      <c r="H72" s="61">
        <v>0.4685766666666667</v>
      </c>
      <c r="I72" s="55">
        <v>30</v>
      </c>
      <c r="J72" s="56" t="s">
        <v>232</v>
      </c>
      <c r="K72" s="75" t="s">
        <v>231</v>
      </c>
      <c r="L72" s="70">
        <v>0</v>
      </c>
    </row>
    <row r="73" spans="1:12" ht="15" customHeight="1">
      <c r="A73" s="53" t="s">
        <v>220</v>
      </c>
      <c r="B73" s="53" t="s">
        <v>86</v>
      </c>
      <c r="C73" s="54">
        <f t="shared" si="2"/>
        <v>42780.614070000003</v>
      </c>
      <c r="D73" s="54">
        <f t="shared" si="3"/>
        <v>42780.655736666668</v>
      </c>
      <c r="E73" s="63">
        <v>42780</v>
      </c>
      <c r="F73" s="61">
        <v>0.61407</v>
      </c>
      <c r="G73" s="63">
        <v>42780</v>
      </c>
      <c r="H73" s="61">
        <v>0.65573666666666663</v>
      </c>
      <c r="I73" s="55">
        <v>30</v>
      </c>
      <c r="J73" s="56" t="s">
        <v>229</v>
      </c>
      <c r="K73" s="75" t="s">
        <v>228</v>
      </c>
      <c r="L73" s="70">
        <v>0</v>
      </c>
    </row>
    <row r="74" spans="1:12" ht="15" customHeight="1">
      <c r="A74" s="53" t="s">
        <v>220</v>
      </c>
      <c r="B74" s="53" t="s">
        <v>87</v>
      </c>
      <c r="C74" s="54">
        <f t="shared" si="2"/>
        <v>42744.452219999999</v>
      </c>
      <c r="D74" s="54">
        <f t="shared" si="3"/>
        <v>42744.493886666663</v>
      </c>
      <c r="E74" s="63">
        <v>42744</v>
      </c>
      <c r="F74" s="61">
        <v>0.45222000000000001</v>
      </c>
      <c r="G74" s="63">
        <v>42744</v>
      </c>
      <c r="H74" s="61">
        <v>0.4938866666666667</v>
      </c>
      <c r="I74" s="55">
        <v>30</v>
      </c>
      <c r="J74" s="56" t="s">
        <v>227</v>
      </c>
      <c r="K74" s="75" t="s">
        <v>230</v>
      </c>
      <c r="L74" s="70">
        <v>0</v>
      </c>
    </row>
    <row r="75" spans="1:12" ht="15" customHeight="1">
      <c r="A75" s="53" t="s">
        <v>220</v>
      </c>
      <c r="B75" s="53" t="s">
        <v>88</v>
      </c>
      <c r="C75" s="54">
        <f t="shared" si="2"/>
        <v>42930.515220000001</v>
      </c>
      <c r="D75" s="54">
        <f t="shared" si="3"/>
        <v>42930.556886666665</v>
      </c>
      <c r="E75" s="63">
        <v>42930</v>
      </c>
      <c r="F75" s="61">
        <v>0.51522000000000001</v>
      </c>
      <c r="G75" s="63">
        <v>42930</v>
      </c>
      <c r="H75" s="61">
        <v>0.55688666666666664</v>
      </c>
      <c r="I75" s="55">
        <v>30</v>
      </c>
      <c r="J75" s="56" t="s">
        <v>232</v>
      </c>
      <c r="K75" s="75" t="s">
        <v>230</v>
      </c>
      <c r="L75" s="70">
        <v>0</v>
      </c>
    </row>
    <row r="76" spans="1:12" ht="15" customHeight="1">
      <c r="A76" s="53" t="s">
        <v>220</v>
      </c>
      <c r="B76" s="53" t="s">
        <v>89</v>
      </c>
      <c r="C76" s="54">
        <f t="shared" si="2"/>
        <v>43096.718809999998</v>
      </c>
      <c r="D76" s="54">
        <f t="shared" si="3"/>
        <v>43096.76047666667</v>
      </c>
      <c r="E76" s="63">
        <v>43096</v>
      </c>
      <c r="F76" s="61">
        <v>0.71880999999999995</v>
      </c>
      <c r="G76" s="63">
        <v>43096</v>
      </c>
      <c r="H76" s="61">
        <v>0.76047666666666658</v>
      </c>
      <c r="I76" s="55">
        <v>30</v>
      </c>
      <c r="J76" s="56" t="s">
        <v>232</v>
      </c>
      <c r="K76" s="75" t="s">
        <v>230</v>
      </c>
      <c r="L76" s="70">
        <v>0</v>
      </c>
    </row>
    <row r="77" spans="1:12" ht="15" customHeight="1">
      <c r="A77" s="53" t="s">
        <v>220</v>
      </c>
      <c r="B77" s="53" t="s">
        <v>90</v>
      </c>
      <c r="C77" s="54">
        <f t="shared" si="2"/>
        <v>42764.509209999997</v>
      </c>
      <c r="D77" s="54">
        <f t="shared" si="3"/>
        <v>42764.550876666668</v>
      </c>
      <c r="E77" s="63">
        <v>42764</v>
      </c>
      <c r="F77" s="61">
        <v>0.50921000000000005</v>
      </c>
      <c r="G77" s="63">
        <v>42764</v>
      </c>
      <c r="H77" s="61">
        <v>0.55087666666666668</v>
      </c>
      <c r="I77" s="55">
        <v>30</v>
      </c>
      <c r="J77" s="56" t="s">
        <v>232</v>
      </c>
      <c r="K77" s="75" t="s">
        <v>228</v>
      </c>
      <c r="L77" s="70">
        <v>0</v>
      </c>
    </row>
    <row r="78" spans="1:12" ht="15" customHeight="1">
      <c r="A78" s="53" t="s">
        <v>220</v>
      </c>
      <c r="B78" s="57" t="s">
        <v>91</v>
      </c>
      <c r="C78" s="54">
        <f t="shared" si="2"/>
        <v>43091.550810000001</v>
      </c>
      <c r="D78" s="54">
        <f t="shared" si="3"/>
        <v>43091.592476666665</v>
      </c>
      <c r="E78" s="63">
        <v>43091</v>
      </c>
      <c r="F78" s="61">
        <v>0.55081000000000002</v>
      </c>
      <c r="G78" s="63">
        <v>43091</v>
      </c>
      <c r="H78" s="61">
        <v>0.59247666666666665</v>
      </c>
      <c r="I78" s="55">
        <v>30</v>
      </c>
      <c r="J78" s="56" t="s">
        <v>229</v>
      </c>
      <c r="K78" s="75" t="s">
        <v>228</v>
      </c>
      <c r="L78" s="70">
        <v>0</v>
      </c>
    </row>
    <row r="79" spans="1:12" ht="15" customHeight="1">
      <c r="A79" s="53" t="s">
        <v>220</v>
      </c>
      <c r="B79" s="53" t="s">
        <v>92</v>
      </c>
      <c r="C79" s="54">
        <f t="shared" si="2"/>
        <v>43007.415690000002</v>
      </c>
      <c r="D79" s="54">
        <f t="shared" si="3"/>
        <v>43007.457356666666</v>
      </c>
      <c r="E79" s="63">
        <v>43007</v>
      </c>
      <c r="F79" s="61">
        <v>0.41569</v>
      </c>
      <c r="G79" s="63">
        <v>43007</v>
      </c>
      <c r="H79" s="61">
        <v>0.45735666666666669</v>
      </c>
      <c r="I79" s="55">
        <v>30</v>
      </c>
      <c r="J79" s="56" t="s">
        <v>232</v>
      </c>
      <c r="K79" s="75" t="s">
        <v>230</v>
      </c>
      <c r="L79" s="70">
        <v>0</v>
      </c>
    </row>
    <row r="80" spans="1:12" ht="15" customHeight="1">
      <c r="A80" s="53" t="s">
        <v>220</v>
      </c>
      <c r="B80" s="53" t="s">
        <v>93</v>
      </c>
      <c r="C80" s="54">
        <f t="shared" si="2"/>
        <v>42880.427020000003</v>
      </c>
      <c r="D80" s="54">
        <f t="shared" si="3"/>
        <v>42880.468686666667</v>
      </c>
      <c r="E80" s="63">
        <v>42880</v>
      </c>
      <c r="F80" s="61">
        <v>0.42702000000000001</v>
      </c>
      <c r="G80" s="63">
        <v>42880</v>
      </c>
      <c r="H80" s="61">
        <v>0.4686866666666667</v>
      </c>
      <c r="I80" s="55">
        <v>30</v>
      </c>
      <c r="J80" s="56" t="s">
        <v>232</v>
      </c>
      <c r="K80" s="75" t="s">
        <v>228</v>
      </c>
      <c r="L80" s="70">
        <v>0</v>
      </c>
    </row>
    <row r="81" spans="1:12" ht="15" customHeight="1">
      <c r="A81" s="53" t="s">
        <v>220</v>
      </c>
      <c r="B81" s="53" t="s">
        <v>94</v>
      </c>
      <c r="C81" s="54">
        <f t="shared" si="2"/>
        <v>42963.54436</v>
      </c>
      <c r="D81" s="54">
        <f t="shared" si="3"/>
        <v>42963.586026666664</v>
      </c>
      <c r="E81" s="63">
        <v>42963</v>
      </c>
      <c r="F81" s="61">
        <v>0.54435999999999996</v>
      </c>
      <c r="G81" s="63">
        <v>42963</v>
      </c>
      <c r="H81" s="61">
        <v>0.58602666666666658</v>
      </c>
      <c r="I81" s="55">
        <v>30</v>
      </c>
      <c r="J81" s="56" t="s">
        <v>229</v>
      </c>
      <c r="K81" s="75" t="s">
        <v>230</v>
      </c>
      <c r="L81" s="70">
        <v>0</v>
      </c>
    </row>
    <row r="82" spans="1:12" ht="15" customHeight="1">
      <c r="A82" s="53" t="s">
        <v>220</v>
      </c>
      <c r="B82" s="53" t="s">
        <v>95</v>
      </c>
      <c r="C82" s="54">
        <f t="shared" si="2"/>
        <v>43075.368920000001</v>
      </c>
      <c r="D82" s="54">
        <f t="shared" si="3"/>
        <v>43075.410586666665</v>
      </c>
      <c r="E82" s="63">
        <v>43075</v>
      </c>
      <c r="F82" s="61">
        <v>0.36892000000000003</v>
      </c>
      <c r="G82" s="63">
        <v>43075</v>
      </c>
      <c r="H82" s="61">
        <v>0.41058666666666671</v>
      </c>
      <c r="I82" s="55">
        <v>30</v>
      </c>
      <c r="J82" s="56" t="s">
        <v>227</v>
      </c>
      <c r="K82" s="75" t="s">
        <v>231</v>
      </c>
      <c r="L82" s="70">
        <v>0</v>
      </c>
    </row>
    <row r="83" spans="1:12" ht="15" customHeight="1">
      <c r="A83" s="53" t="s">
        <v>220</v>
      </c>
      <c r="B83" s="53" t="s">
        <v>96</v>
      </c>
      <c r="C83" s="54">
        <f t="shared" si="2"/>
        <v>43030.42224</v>
      </c>
      <c r="D83" s="54">
        <f t="shared" si="3"/>
        <v>43030.463906666664</v>
      </c>
      <c r="E83" s="63">
        <v>43030</v>
      </c>
      <c r="F83" s="61">
        <v>0.42224</v>
      </c>
      <c r="G83" s="63">
        <v>43030</v>
      </c>
      <c r="H83" s="61">
        <v>0.46390666666666669</v>
      </c>
      <c r="I83" s="55">
        <v>30</v>
      </c>
      <c r="J83" s="56" t="s">
        <v>229</v>
      </c>
      <c r="K83" s="75" t="s">
        <v>228</v>
      </c>
      <c r="L83" s="70">
        <v>0</v>
      </c>
    </row>
    <row r="84" spans="1:12" ht="15" customHeight="1">
      <c r="A84" s="53" t="s">
        <v>220</v>
      </c>
      <c r="B84" s="53" t="s">
        <v>97</v>
      </c>
      <c r="C84" s="54">
        <f t="shared" si="2"/>
        <v>43076.348389999999</v>
      </c>
      <c r="D84" s="54">
        <f t="shared" si="3"/>
        <v>43076.390056666663</v>
      </c>
      <c r="E84" s="63">
        <v>43076</v>
      </c>
      <c r="F84" s="61">
        <v>0.34838999999999998</v>
      </c>
      <c r="G84" s="63">
        <v>43076</v>
      </c>
      <c r="H84" s="61">
        <v>0.39005666666666666</v>
      </c>
      <c r="I84" s="55">
        <v>30</v>
      </c>
      <c r="J84" s="56" t="s">
        <v>229</v>
      </c>
      <c r="K84" s="75" t="s">
        <v>230</v>
      </c>
      <c r="L84" s="70">
        <v>0</v>
      </c>
    </row>
    <row r="85" spans="1:12" ht="15" customHeight="1">
      <c r="A85" s="53" t="s">
        <v>220</v>
      </c>
      <c r="B85" s="53" t="s">
        <v>98</v>
      </c>
      <c r="C85" s="54">
        <f t="shared" si="2"/>
        <v>42873.590080000002</v>
      </c>
      <c r="D85" s="54">
        <f t="shared" si="3"/>
        <v>42873.631746666666</v>
      </c>
      <c r="E85" s="63">
        <v>42873</v>
      </c>
      <c r="F85" s="61">
        <v>0.59008000000000005</v>
      </c>
      <c r="G85" s="63">
        <v>42873</v>
      </c>
      <c r="H85" s="61">
        <v>0.63174666666666668</v>
      </c>
      <c r="I85" s="55">
        <v>30</v>
      </c>
      <c r="J85" s="56" t="s">
        <v>229</v>
      </c>
      <c r="K85" s="75" t="s">
        <v>231</v>
      </c>
      <c r="L85" s="70">
        <v>0</v>
      </c>
    </row>
    <row r="86" spans="1:12" ht="15" customHeight="1">
      <c r="A86" s="53" t="s">
        <v>220</v>
      </c>
      <c r="B86" s="53" t="s">
        <v>99</v>
      </c>
      <c r="C86" s="54">
        <f t="shared" si="2"/>
        <v>42979.749239999997</v>
      </c>
      <c r="D86" s="54">
        <f t="shared" si="3"/>
        <v>42979.790906666669</v>
      </c>
      <c r="E86" s="63">
        <v>42979</v>
      </c>
      <c r="F86" s="61">
        <v>0.74924000000000002</v>
      </c>
      <c r="G86" s="63">
        <v>42979</v>
      </c>
      <c r="H86" s="61">
        <v>0.79090666666666665</v>
      </c>
      <c r="I86" s="55">
        <v>30</v>
      </c>
      <c r="J86" s="56" t="s">
        <v>232</v>
      </c>
      <c r="K86" s="75" t="s">
        <v>228</v>
      </c>
      <c r="L86" s="70">
        <v>0</v>
      </c>
    </row>
    <row r="87" spans="1:12" ht="15" customHeight="1">
      <c r="A87" s="53" t="s">
        <v>220</v>
      </c>
      <c r="B87" s="53" t="s">
        <v>100</v>
      </c>
      <c r="C87" s="54">
        <f t="shared" si="2"/>
        <v>43003.593840000001</v>
      </c>
      <c r="D87" s="54">
        <f t="shared" si="3"/>
        <v>43003.635506666666</v>
      </c>
      <c r="E87" s="63">
        <v>43003</v>
      </c>
      <c r="F87" s="61">
        <v>0.59384000000000003</v>
      </c>
      <c r="G87" s="63">
        <v>43003</v>
      </c>
      <c r="H87" s="61">
        <v>0.63550666666666666</v>
      </c>
      <c r="I87" s="55">
        <v>30</v>
      </c>
      <c r="J87" s="56" t="s">
        <v>227</v>
      </c>
      <c r="K87" s="75" t="s">
        <v>231</v>
      </c>
      <c r="L87" s="70">
        <v>0</v>
      </c>
    </row>
    <row r="88" spans="1:12" ht="15" customHeight="1">
      <c r="A88" s="53" t="s">
        <v>220</v>
      </c>
      <c r="B88" s="53" t="s">
        <v>101</v>
      </c>
      <c r="C88" s="54">
        <f t="shared" si="2"/>
        <v>42905.547659999997</v>
      </c>
      <c r="D88" s="54">
        <f t="shared" si="3"/>
        <v>42905.589326666668</v>
      </c>
      <c r="E88" s="63">
        <v>42905</v>
      </c>
      <c r="F88" s="61">
        <v>0.54766000000000004</v>
      </c>
      <c r="G88" s="63">
        <v>42905</v>
      </c>
      <c r="H88" s="61">
        <v>0.58932666666666667</v>
      </c>
      <c r="I88" s="55">
        <v>30</v>
      </c>
      <c r="J88" s="56" t="s">
        <v>229</v>
      </c>
      <c r="K88" s="75" t="s">
        <v>230</v>
      </c>
      <c r="L88" s="70">
        <v>0</v>
      </c>
    </row>
    <row r="89" spans="1:12" ht="15" customHeight="1">
      <c r="A89" s="53" t="s">
        <v>220</v>
      </c>
      <c r="B89" s="53" t="s">
        <v>102</v>
      </c>
      <c r="C89" s="54">
        <f t="shared" si="2"/>
        <v>43087.51225</v>
      </c>
      <c r="D89" s="54">
        <f t="shared" si="3"/>
        <v>43087.553916666664</v>
      </c>
      <c r="E89" s="63">
        <v>43087</v>
      </c>
      <c r="F89" s="61">
        <v>0.51224999999999998</v>
      </c>
      <c r="G89" s="63">
        <v>43087</v>
      </c>
      <c r="H89" s="61">
        <v>0.55391666666666661</v>
      </c>
      <c r="I89" s="55">
        <v>30</v>
      </c>
      <c r="J89" s="56" t="s">
        <v>227</v>
      </c>
      <c r="K89" s="75" t="s">
        <v>231</v>
      </c>
      <c r="L89" s="70">
        <v>0</v>
      </c>
    </row>
    <row r="90" spans="1:12" ht="15" customHeight="1">
      <c r="A90" s="53" t="s">
        <v>220</v>
      </c>
      <c r="B90" s="53" t="s">
        <v>103</v>
      </c>
      <c r="C90" s="54">
        <f t="shared" si="2"/>
        <v>42833.332190000001</v>
      </c>
      <c r="D90" s="54">
        <f t="shared" si="3"/>
        <v>42833.373856666665</v>
      </c>
      <c r="E90" s="63">
        <v>42833</v>
      </c>
      <c r="F90" s="61">
        <v>0.33218999999999999</v>
      </c>
      <c r="G90" s="63">
        <v>42833</v>
      </c>
      <c r="H90" s="61">
        <v>0.37385666666666667</v>
      </c>
      <c r="I90" s="55">
        <v>30</v>
      </c>
      <c r="J90" s="56" t="s">
        <v>229</v>
      </c>
      <c r="K90" s="75" t="s">
        <v>228</v>
      </c>
      <c r="L90" s="70">
        <v>0</v>
      </c>
    </row>
    <row r="91" spans="1:12" ht="15" customHeight="1">
      <c r="A91" s="53" t="s">
        <v>220</v>
      </c>
      <c r="B91" s="53" t="s">
        <v>104</v>
      </c>
      <c r="C91" s="54">
        <f t="shared" si="2"/>
        <v>42845.732689999997</v>
      </c>
      <c r="D91" s="54">
        <f t="shared" si="3"/>
        <v>42845.774356666669</v>
      </c>
      <c r="E91" s="63">
        <v>42845</v>
      </c>
      <c r="F91" s="61">
        <v>0.73268999999999995</v>
      </c>
      <c r="G91" s="63">
        <v>42845</v>
      </c>
      <c r="H91" s="61">
        <v>0.77435666666666658</v>
      </c>
      <c r="I91" s="55">
        <v>30</v>
      </c>
      <c r="J91" s="56" t="s">
        <v>229</v>
      </c>
      <c r="K91" s="75" t="s">
        <v>228</v>
      </c>
      <c r="L91" s="70">
        <v>0</v>
      </c>
    </row>
    <row r="92" spans="1:12" ht="15" customHeight="1">
      <c r="A92" s="53" t="s">
        <v>220</v>
      </c>
      <c r="B92" s="53" t="s">
        <v>105</v>
      </c>
      <c r="C92" s="54">
        <f t="shared" si="2"/>
        <v>43020.357450000003</v>
      </c>
      <c r="D92" s="54">
        <f t="shared" si="3"/>
        <v>43020.399116666667</v>
      </c>
      <c r="E92" s="63">
        <v>43020</v>
      </c>
      <c r="F92" s="61">
        <v>0.35744999999999999</v>
      </c>
      <c r="G92" s="63">
        <v>43020</v>
      </c>
      <c r="H92" s="61">
        <v>0.39911666666666668</v>
      </c>
      <c r="I92" s="55">
        <v>30</v>
      </c>
      <c r="J92" s="56" t="s">
        <v>232</v>
      </c>
      <c r="K92" s="75" t="s">
        <v>228</v>
      </c>
      <c r="L92" s="70">
        <v>0</v>
      </c>
    </row>
    <row r="93" spans="1:12" ht="15" customHeight="1">
      <c r="A93" s="53" t="s">
        <v>220</v>
      </c>
      <c r="B93" s="53" t="s">
        <v>106</v>
      </c>
      <c r="C93" s="54">
        <f t="shared" si="2"/>
        <v>42810.438269999999</v>
      </c>
      <c r="D93" s="54">
        <f t="shared" si="3"/>
        <v>42810.47993666667</v>
      </c>
      <c r="E93" s="63">
        <v>42810</v>
      </c>
      <c r="F93" s="61">
        <v>0.43826999999999999</v>
      </c>
      <c r="G93" s="63">
        <v>42810</v>
      </c>
      <c r="H93" s="61">
        <v>0.47993666666666668</v>
      </c>
      <c r="I93" s="55">
        <v>30</v>
      </c>
      <c r="J93" s="56" t="s">
        <v>229</v>
      </c>
      <c r="K93" s="75" t="s">
        <v>228</v>
      </c>
      <c r="L93" s="70">
        <v>0</v>
      </c>
    </row>
    <row r="94" spans="1:12" ht="15" customHeight="1">
      <c r="A94" s="53" t="s">
        <v>220</v>
      </c>
      <c r="B94" s="53" t="s">
        <v>107</v>
      </c>
      <c r="C94" s="54">
        <f t="shared" si="2"/>
        <v>43015.366999999998</v>
      </c>
      <c r="D94" s="54">
        <f t="shared" si="3"/>
        <v>43015.40866666667</v>
      </c>
      <c r="E94" s="63">
        <v>43015</v>
      </c>
      <c r="F94" s="61">
        <v>0.36699999999999999</v>
      </c>
      <c r="G94" s="63">
        <v>43015</v>
      </c>
      <c r="H94" s="61">
        <v>0.40866666666666668</v>
      </c>
      <c r="I94" s="55">
        <v>30</v>
      </c>
      <c r="J94" s="56" t="s">
        <v>229</v>
      </c>
      <c r="K94" s="75" t="s">
        <v>231</v>
      </c>
      <c r="L94" s="70">
        <v>0</v>
      </c>
    </row>
    <row r="95" spans="1:12" ht="15" customHeight="1">
      <c r="A95" s="53" t="s">
        <v>220</v>
      </c>
      <c r="B95" s="53" t="s">
        <v>108</v>
      </c>
      <c r="C95" s="54">
        <f t="shared" si="2"/>
        <v>43044.67656</v>
      </c>
      <c r="D95" s="54">
        <f t="shared" si="3"/>
        <v>43044.718226666664</v>
      </c>
      <c r="E95" s="63">
        <v>43044</v>
      </c>
      <c r="F95" s="61">
        <v>0.67656000000000005</v>
      </c>
      <c r="G95" s="63">
        <v>43044</v>
      </c>
      <c r="H95" s="61">
        <v>0.71822666666666668</v>
      </c>
      <c r="I95" s="55">
        <v>30</v>
      </c>
      <c r="J95" s="56" t="s">
        <v>229</v>
      </c>
      <c r="K95" s="75" t="s">
        <v>228</v>
      </c>
      <c r="L95" s="70">
        <v>0</v>
      </c>
    </row>
    <row r="96" spans="1:12" ht="15" customHeight="1">
      <c r="A96" s="53" t="s">
        <v>220</v>
      </c>
      <c r="B96" s="53" t="s">
        <v>109</v>
      </c>
      <c r="C96" s="54">
        <f t="shared" si="2"/>
        <v>43076.564910000001</v>
      </c>
      <c r="D96" s="54">
        <f t="shared" si="3"/>
        <v>43076.606576666665</v>
      </c>
      <c r="E96" s="63">
        <v>43076</v>
      </c>
      <c r="F96" s="61">
        <v>0.56491000000000002</v>
      </c>
      <c r="G96" s="63">
        <v>43076</v>
      </c>
      <c r="H96" s="61">
        <v>0.60657666666666665</v>
      </c>
      <c r="I96" s="55">
        <v>30</v>
      </c>
      <c r="J96" s="56" t="s">
        <v>227</v>
      </c>
      <c r="K96" s="75" t="s">
        <v>228</v>
      </c>
      <c r="L96" s="70">
        <v>0</v>
      </c>
    </row>
    <row r="97" spans="1:12" ht="15" customHeight="1">
      <c r="A97" s="53" t="s">
        <v>220</v>
      </c>
      <c r="B97" s="53" t="s">
        <v>110</v>
      </c>
      <c r="C97" s="54">
        <f t="shared" si="2"/>
        <v>42809.392180000003</v>
      </c>
      <c r="D97" s="54">
        <f t="shared" si="3"/>
        <v>42809.433846666667</v>
      </c>
      <c r="E97" s="63">
        <v>42809</v>
      </c>
      <c r="F97" s="61">
        <v>0.39217999999999997</v>
      </c>
      <c r="G97" s="63">
        <v>42809</v>
      </c>
      <c r="H97" s="61">
        <v>0.43384666666666666</v>
      </c>
      <c r="I97" s="55">
        <v>30</v>
      </c>
      <c r="J97" s="56" t="s">
        <v>227</v>
      </c>
      <c r="K97" s="75" t="s">
        <v>231</v>
      </c>
      <c r="L97" s="70">
        <v>0</v>
      </c>
    </row>
    <row r="98" spans="1:12" ht="15" customHeight="1">
      <c r="A98" s="53" t="s">
        <v>220</v>
      </c>
      <c r="B98" s="53" t="s">
        <v>111</v>
      </c>
      <c r="C98" s="54">
        <f t="shared" si="2"/>
        <v>42787.632039999997</v>
      </c>
      <c r="D98" s="54">
        <f t="shared" si="3"/>
        <v>42787.673706666668</v>
      </c>
      <c r="E98" s="63">
        <v>42787</v>
      </c>
      <c r="F98" s="61">
        <v>0.63204000000000005</v>
      </c>
      <c r="G98" s="63">
        <v>42787</v>
      </c>
      <c r="H98" s="61">
        <v>0.67370666666666668</v>
      </c>
      <c r="I98" s="55">
        <v>30</v>
      </c>
      <c r="J98" s="56" t="s">
        <v>227</v>
      </c>
      <c r="K98" s="75" t="s">
        <v>228</v>
      </c>
      <c r="L98" s="70">
        <v>0</v>
      </c>
    </row>
    <row r="99" spans="1:12" ht="15" customHeight="1">
      <c r="A99" s="53" t="s">
        <v>220</v>
      </c>
      <c r="B99" s="53" t="s">
        <v>112</v>
      </c>
      <c r="C99" s="54">
        <f t="shared" si="2"/>
        <v>42939.436199999996</v>
      </c>
      <c r="D99" s="54">
        <f t="shared" si="3"/>
        <v>42939.477866666668</v>
      </c>
      <c r="E99" s="63">
        <v>42939</v>
      </c>
      <c r="F99" s="61">
        <v>0.43619999999999998</v>
      </c>
      <c r="G99" s="63">
        <v>42939</v>
      </c>
      <c r="H99" s="61">
        <v>0.47786666666666666</v>
      </c>
      <c r="I99" s="55">
        <v>30</v>
      </c>
      <c r="J99" s="56" t="s">
        <v>229</v>
      </c>
      <c r="K99" s="75" t="s">
        <v>230</v>
      </c>
      <c r="L99" s="70">
        <v>0</v>
      </c>
    </row>
    <row r="100" spans="1:12" ht="15" customHeight="1">
      <c r="A100" s="53" t="s">
        <v>220</v>
      </c>
      <c r="B100" s="53" t="s">
        <v>113</v>
      </c>
      <c r="C100" s="54">
        <f t="shared" si="2"/>
        <v>42901.405530000004</v>
      </c>
      <c r="D100" s="54">
        <f t="shared" si="3"/>
        <v>42901.447196666668</v>
      </c>
      <c r="E100" s="63">
        <v>42901</v>
      </c>
      <c r="F100" s="61">
        <v>0.40553</v>
      </c>
      <c r="G100" s="63">
        <v>42901</v>
      </c>
      <c r="H100" s="61">
        <v>0.44719666666666669</v>
      </c>
      <c r="I100" s="55">
        <v>30</v>
      </c>
      <c r="J100" s="56" t="s">
        <v>229</v>
      </c>
      <c r="K100" s="75" t="s">
        <v>231</v>
      </c>
      <c r="L100" s="70">
        <v>0</v>
      </c>
    </row>
    <row r="101" spans="1:12" ht="15" customHeight="1">
      <c r="A101" s="53" t="s">
        <v>220</v>
      </c>
      <c r="B101" s="53" t="s">
        <v>114</v>
      </c>
      <c r="C101" s="54">
        <f t="shared" si="2"/>
        <v>42773.39503</v>
      </c>
      <c r="D101" s="54">
        <f t="shared" si="3"/>
        <v>42773.436696666664</v>
      </c>
      <c r="E101" s="63">
        <v>42773</v>
      </c>
      <c r="F101" s="61">
        <v>0.39502999999999999</v>
      </c>
      <c r="G101" s="63">
        <v>42773</v>
      </c>
      <c r="H101" s="61">
        <v>0.43669666666666668</v>
      </c>
      <c r="I101" s="55">
        <v>30</v>
      </c>
      <c r="J101" s="56" t="s">
        <v>232</v>
      </c>
      <c r="K101" s="75" t="s">
        <v>230</v>
      </c>
      <c r="L101" s="70">
        <v>0</v>
      </c>
    </row>
    <row r="102" spans="1:12" ht="15" customHeight="1">
      <c r="A102" s="53" t="s">
        <v>220</v>
      </c>
      <c r="B102" s="53" t="s">
        <v>115</v>
      </c>
      <c r="C102" s="54">
        <f t="shared" si="2"/>
        <v>42826.495340000001</v>
      </c>
      <c r="D102" s="54">
        <f t="shared" si="3"/>
        <v>42826.537006666666</v>
      </c>
      <c r="E102" s="63">
        <v>42826</v>
      </c>
      <c r="F102" s="61">
        <v>0.49534</v>
      </c>
      <c r="G102" s="63">
        <v>42826</v>
      </c>
      <c r="H102" s="61">
        <v>0.53700666666666663</v>
      </c>
      <c r="I102" s="55">
        <v>30</v>
      </c>
      <c r="J102" s="56" t="s">
        <v>232</v>
      </c>
      <c r="K102" s="75" t="s">
        <v>228</v>
      </c>
      <c r="L102" s="70">
        <v>0</v>
      </c>
    </row>
    <row r="103" spans="1:12" ht="15" customHeight="1">
      <c r="A103" s="53" t="s">
        <v>220</v>
      </c>
      <c r="B103" s="53" t="s">
        <v>116</v>
      </c>
      <c r="C103" s="54">
        <f t="shared" si="2"/>
        <v>42897.544529999999</v>
      </c>
      <c r="D103" s="54">
        <f t="shared" si="3"/>
        <v>42897.586196666663</v>
      </c>
      <c r="E103" s="63">
        <v>42897</v>
      </c>
      <c r="F103" s="61">
        <v>0.54452999999999996</v>
      </c>
      <c r="G103" s="63">
        <v>42897</v>
      </c>
      <c r="H103" s="61">
        <v>0.58619666666666659</v>
      </c>
      <c r="I103" s="55">
        <v>30</v>
      </c>
      <c r="J103" s="56" t="s">
        <v>229</v>
      </c>
      <c r="K103" s="75" t="s">
        <v>230</v>
      </c>
      <c r="L103" s="70">
        <v>0</v>
      </c>
    </row>
    <row r="104" spans="1:12" ht="15" customHeight="1">
      <c r="A104" s="53" t="s">
        <v>220</v>
      </c>
      <c r="B104" s="53" t="s">
        <v>117</v>
      </c>
      <c r="C104" s="54">
        <f t="shared" si="2"/>
        <v>42861.658739999999</v>
      </c>
      <c r="D104" s="54">
        <f t="shared" si="3"/>
        <v>42861.700406666663</v>
      </c>
      <c r="E104" s="63">
        <v>42861</v>
      </c>
      <c r="F104" s="61">
        <v>0.65873999999999999</v>
      </c>
      <c r="G104" s="63">
        <v>42861</v>
      </c>
      <c r="H104" s="61">
        <v>0.70040666666666662</v>
      </c>
      <c r="I104" s="55">
        <v>30</v>
      </c>
      <c r="J104" s="56" t="s">
        <v>232</v>
      </c>
      <c r="K104" s="75" t="s">
        <v>228</v>
      </c>
      <c r="L104" s="70">
        <v>0</v>
      </c>
    </row>
    <row r="105" spans="1:12" ht="15" customHeight="1">
      <c r="A105" s="53" t="s">
        <v>220</v>
      </c>
      <c r="B105" s="53" t="s">
        <v>118</v>
      </c>
      <c r="C105" s="54">
        <f t="shared" si="2"/>
        <v>42780.524279999998</v>
      </c>
      <c r="D105" s="54">
        <f t="shared" si="3"/>
        <v>42780.565946666669</v>
      </c>
      <c r="E105" s="63">
        <v>42780</v>
      </c>
      <c r="F105" s="61">
        <v>0.52427999999999997</v>
      </c>
      <c r="G105" s="63">
        <v>42780</v>
      </c>
      <c r="H105" s="61">
        <v>0.5659466666666666</v>
      </c>
      <c r="I105" s="55">
        <v>30</v>
      </c>
      <c r="J105" s="56" t="s">
        <v>229</v>
      </c>
      <c r="K105" s="75" t="s">
        <v>231</v>
      </c>
      <c r="L105" s="70">
        <v>0</v>
      </c>
    </row>
    <row r="106" spans="1:12" ht="15" customHeight="1">
      <c r="A106" s="53" t="s">
        <v>220</v>
      </c>
      <c r="B106" s="53" t="s">
        <v>119</v>
      </c>
      <c r="C106" s="54">
        <f t="shared" si="2"/>
        <v>42758.761120000003</v>
      </c>
      <c r="D106" s="54">
        <f t="shared" si="3"/>
        <v>42758.802786666667</v>
      </c>
      <c r="E106" s="63">
        <v>42758</v>
      </c>
      <c r="F106" s="61">
        <v>0.76112000000000002</v>
      </c>
      <c r="G106" s="63">
        <v>42758</v>
      </c>
      <c r="H106" s="61">
        <v>0.80278666666666665</v>
      </c>
      <c r="I106" s="55">
        <v>30</v>
      </c>
      <c r="J106" s="56" t="s">
        <v>229</v>
      </c>
      <c r="K106" s="75" t="s">
        <v>228</v>
      </c>
      <c r="L106" s="70">
        <v>0</v>
      </c>
    </row>
    <row r="107" spans="1:12" ht="15" customHeight="1">
      <c r="A107" s="53" t="s">
        <v>220</v>
      </c>
      <c r="B107" s="53" t="s">
        <v>120</v>
      </c>
      <c r="C107" s="54">
        <f t="shared" si="2"/>
        <v>43049.534420000004</v>
      </c>
      <c r="D107" s="54">
        <f t="shared" si="3"/>
        <v>43049.576086666668</v>
      </c>
      <c r="E107" s="63">
        <v>43049</v>
      </c>
      <c r="F107" s="61">
        <v>0.53442000000000001</v>
      </c>
      <c r="G107" s="63">
        <v>43049</v>
      </c>
      <c r="H107" s="61">
        <v>0.57608666666666664</v>
      </c>
      <c r="I107" s="55">
        <v>30</v>
      </c>
      <c r="J107" s="56" t="s">
        <v>232</v>
      </c>
      <c r="K107" s="75" t="s">
        <v>228</v>
      </c>
      <c r="L107" s="70">
        <v>0</v>
      </c>
    </row>
    <row r="108" spans="1:12" ht="15" customHeight="1">
      <c r="A108" s="53" t="s">
        <v>220</v>
      </c>
      <c r="B108" s="53" t="s">
        <v>121</v>
      </c>
      <c r="C108" s="54">
        <f t="shared" si="2"/>
        <v>42885.489540000002</v>
      </c>
      <c r="D108" s="54">
        <f t="shared" si="3"/>
        <v>42885.531206666667</v>
      </c>
      <c r="E108" s="63">
        <v>42885</v>
      </c>
      <c r="F108" s="61">
        <v>0.48953999999999998</v>
      </c>
      <c r="G108" s="63">
        <v>42885</v>
      </c>
      <c r="H108" s="61">
        <v>0.5312066666666666</v>
      </c>
      <c r="I108" s="55">
        <v>30</v>
      </c>
      <c r="J108" s="56" t="s">
        <v>229</v>
      </c>
      <c r="K108" s="75" t="s">
        <v>230</v>
      </c>
      <c r="L108" s="70">
        <v>0</v>
      </c>
    </row>
    <row r="109" spans="1:12" ht="15" customHeight="1">
      <c r="A109" s="53" t="s">
        <v>220</v>
      </c>
      <c r="B109" s="53" t="s">
        <v>122</v>
      </c>
      <c r="C109" s="54">
        <f t="shared" si="2"/>
        <v>42889.552839999997</v>
      </c>
      <c r="D109" s="54">
        <f t="shared" si="3"/>
        <v>42889.594506666668</v>
      </c>
      <c r="E109" s="63">
        <v>42889</v>
      </c>
      <c r="F109" s="61">
        <v>0.55284</v>
      </c>
      <c r="G109" s="63">
        <v>42889</v>
      </c>
      <c r="H109" s="61">
        <v>0.59450666666666663</v>
      </c>
      <c r="I109" s="55">
        <v>30</v>
      </c>
      <c r="J109" s="56" t="s">
        <v>227</v>
      </c>
      <c r="K109" s="75" t="s">
        <v>230</v>
      </c>
      <c r="L109" s="70">
        <v>0</v>
      </c>
    </row>
    <row r="110" spans="1:12" ht="15" customHeight="1">
      <c r="A110" s="53" t="s">
        <v>220</v>
      </c>
      <c r="B110" s="53" t="s">
        <v>123</v>
      </c>
      <c r="C110" s="54">
        <f t="shared" si="2"/>
        <v>42787.418030000001</v>
      </c>
      <c r="D110" s="54">
        <f t="shared" si="3"/>
        <v>42787.459696666665</v>
      </c>
      <c r="E110" s="63">
        <v>42787</v>
      </c>
      <c r="F110" s="61">
        <v>0.41803000000000001</v>
      </c>
      <c r="G110" s="63">
        <v>42787</v>
      </c>
      <c r="H110" s="61">
        <v>0.4596966666666667</v>
      </c>
      <c r="I110" s="55">
        <v>30</v>
      </c>
      <c r="J110" s="56" t="s">
        <v>232</v>
      </c>
      <c r="K110" s="75" t="s">
        <v>231</v>
      </c>
      <c r="L110" s="70">
        <v>0</v>
      </c>
    </row>
    <row r="111" spans="1:12" ht="15" customHeight="1">
      <c r="A111" s="53" t="s">
        <v>220</v>
      </c>
      <c r="B111" s="53" t="s">
        <v>124</v>
      </c>
      <c r="C111" s="54">
        <f t="shared" si="2"/>
        <v>42741.376490000002</v>
      </c>
      <c r="D111" s="54">
        <f t="shared" si="3"/>
        <v>42741.418156666667</v>
      </c>
      <c r="E111" s="63">
        <v>42741</v>
      </c>
      <c r="F111" s="61">
        <v>0.37648999999999999</v>
      </c>
      <c r="G111" s="63">
        <v>42741</v>
      </c>
      <c r="H111" s="61">
        <v>0.41815666666666668</v>
      </c>
      <c r="I111" s="55">
        <v>30</v>
      </c>
      <c r="J111" s="56" t="s">
        <v>227</v>
      </c>
      <c r="K111" s="75" t="s">
        <v>228</v>
      </c>
      <c r="L111" s="70">
        <v>0</v>
      </c>
    </row>
    <row r="112" spans="1:12" ht="15" customHeight="1">
      <c r="A112" s="53" t="s">
        <v>220</v>
      </c>
      <c r="B112" s="53" t="s">
        <v>125</v>
      </c>
      <c r="C112" s="54">
        <f t="shared" si="2"/>
        <v>43077.538710000001</v>
      </c>
      <c r="D112" s="54">
        <f t="shared" si="3"/>
        <v>43077.580376666665</v>
      </c>
      <c r="E112" s="63">
        <v>43077</v>
      </c>
      <c r="F112" s="61">
        <v>0.53871000000000002</v>
      </c>
      <c r="G112" s="63">
        <v>43077</v>
      </c>
      <c r="H112" s="61">
        <v>0.58037666666666665</v>
      </c>
      <c r="I112" s="55">
        <v>30</v>
      </c>
      <c r="J112" s="56" t="s">
        <v>227</v>
      </c>
      <c r="K112" s="75" t="s">
        <v>231</v>
      </c>
      <c r="L112" s="70">
        <v>0</v>
      </c>
    </row>
    <row r="113" spans="1:12" ht="15" customHeight="1">
      <c r="A113" s="53" t="s">
        <v>220</v>
      </c>
      <c r="B113" s="53" t="s">
        <v>126</v>
      </c>
      <c r="C113" s="54">
        <f t="shared" si="2"/>
        <v>42844.511890000002</v>
      </c>
      <c r="D113" s="54">
        <f t="shared" si="3"/>
        <v>42844.553556666666</v>
      </c>
      <c r="E113" s="63">
        <v>42844</v>
      </c>
      <c r="F113" s="61">
        <v>0.51188999999999996</v>
      </c>
      <c r="G113" s="63">
        <v>42844</v>
      </c>
      <c r="H113" s="61">
        <v>0.55355666666666659</v>
      </c>
      <c r="I113" s="55">
        <v>30</v>
      </c>
      <c r="J113" s="56" t="s">
        <v>229</v>
      </c>
      <c r="K113" s="75" t="s">
        <v>231</v>
      </c>
      <c r="L113" s="70">
        <v>0</v>
      </c>
    </row>
    <row r="114" spans="1:12" ht="15" customHeight="1">
      <c r="A114" s="53" t="s">
        <v>220</v>
      </c>
      <c r="B114" s="53" t="s">
        <v>127</v>
      </c>
      <c r="C114" s="54">
        <f t="shared" si="2"/>
        <v>42875.719510000003</v>
      </c>
      <c r="D114" s="54">
        <f t="shared" si="3"/>
        <v>42875.761176666667</v>
      </c>
      <c r="E114" s="63">
        <v>42875</v>
      </c>
      <c r="F114" s="61">
        <v>0.71950999999999998</v>
      </c>
      <c r="G114" s="63">
        <v>42875</v>
      </c>
      <c r="H114" s="61">
        <v>0.76117666666666661</v>
      </c>
      <c r="I114" s="55">
        <v>30</v>
      </c>
      <c r="J114" s="56" t="s">
        <v>229</v>
      </c>
      <c r="K114" s="75" t="s">
        <v>230</v>
      </c>
      <c r="L114" s="70">
        <v>0</v>
      </c>
    </row>
    <row r="115" spans="1:12" ht="15" customHeight="1">
      <c r="A115" s="53" t="s">
        <v>220</v>
      </c>
      <c r="B115" s="53" t="s">
        <v>128</v>
      </c>
      <c r="C115" s="54">
        <f t="shared" si="2"/>
        <v>43037.600700000003</v>
      </c>
      <c r="D115" s="54">
        <f t="shared" si="3"/>
        <v>43037.642366666667</v>
      </c>
      <c r="E115" s="63">
        <v>43037</v>
      </c>
      <c r="F115" s="61">
        <v>0.60070000000000001</v>
      </c>
      <c r="G115" s="63">
        <v>43037</v>
      </c>
      <c r="H115" s="61">
        <v>0.64236666666666664</v>
      </c>
      <c r="I115" s="55">
        <v>30</v>
      </c>
      <c r="J115" s="56" t="s">
        <v>229</v>
      </c>
      <c r="K115" s="75" t="s">
        <v>228</v>
      </c>
      <c r="L115" s="70">
        <v>0</v>
      </c>
    </row>
    <row r="116" spans="1:12" ht="15" customHeight="1">
      <c r="A116" s="53" t="s">
        <v>220</v>
      </c>
      <c r="B116" s="57" t="s">
        <v>129</v>
      </c>
      <c r="C116" s="54">
        <f t="shared" si="2"/>
        <v>43047.71211</v>
      </c>
      <c r="D116" s="54">
        <f t="shared" si="3"/>
        <v>43047.753776666665</v>
      </c>
      <c r="E116" s="63">
        <v>43047</v>
      </c>
      <c r="F116" s="61">
        <v>0.71211000000000002</v>
      </c>
      <c r="G116" s="63">
        <v>43047</v>
      </c>
      <c r="H116" s="61">
        <v>0.75377666666666665</v>
      </c>
      <c r="I116" s="55">
        <v>30</v>
      </c>
      <c r="J116" s="56" t="s">
        <v>227</v>
      </c>
      <c r="K116" s="75" t="s">
        <v>228</v>
      </c>
      <c r="L116" s="70">
        <v>0</v>
      </c>
    </row>
    <row r="117" spans="1:12" ht="15" customHeight="1">
      <c r="A117" s="53" t="s">
        <v>220</v>
      </c>
      <c r="B117" s="53" t="s">
        <v>130</v>
      </c>
      <c r="C117" s="54">
        <f t="shared" si="2"/>
        <v>43051.717320000003</v>
      </c>
      <c r="D117" s="54">
        <f t="shared" si="3"/>
        <v>43051.758986666668</v>
      </c>
      <c r="E117" s="63">
        <v>43051</v>
      </c>
      <c r="F117" s="61">
        <v>0.71731999999999996</v>
      </c>
      <c r="G117" s="63">
        <v>43051</v>
      </c>
      <c r="H117" s="61">
        <v>0.75898666666666659</v>
      </c>
      <c r="I117" s="55">
        <v>30</v>
      </c>
      <c r="J117" s="56" t="s">
        <v>229</v>
      </c>
      <c r="K117" s="75" t="s">
        <v>231</v>
      </c>
      <c r="L117" s="70">
        <v>0</v>
      </c>
    </row>
    <row r="118" spans="1:12" ht="15" customHeight="1">
      <c r="A118" s="53" t="s">
        <v>220</v>
      </c>
      <c r="B118" s="53" t="s">
        <v>131</v>
      </c>
      <c r="C118" s="54">
        <f t="shared" si="2"/>
        <v>43081.6296</v>
      </c>
      <c r="D118" s="54">
        <f t="shared" si="3"/>
        <v>43081.671266666664</v>
      </c>
      <c r="E118" s="63">
        <v>43081</v>
      </c>
      <c r="F118" s="61">
        <v>0.62960000000000005</v>
      </c>
      <c r="G118" s="63">
        <v>43081</v>
      </c>
      <c r="H118" s="61">
        <v>0.67126666666666668</v>
      </c>
      <c r="I118" s="55">
        <v>30</v>
      </c>
      <c r="J118" s="56" t="s">
        <v>227</v>
      </c>
      <c r="K118" s="75" t="s">
        <v>230</v>
      </c>
      <c r="L118" s="70">
        <v>0</v>
      </c>
    </row>
    <row r="119" spans="1:12" ht="15" customHeight="1">
      <c r="A119" s="53" t="s">
        <v>220</v>
      </c>
      <c r="B119" s="53" t="s">
        <v>132</v>
      </c>
      <c r="C119" s="54">
        <f t="shared" si="2"/>
        <v>42764.649460000001</v>
      </c>
      <c r="D119" s="54">
        <f t="shared" si="3"/>
        <v>42764.691126666665</v>
      </c>
      <c r="E119" s="63">
        <v>42764</v>
      </c>
      <c r="F119" s="61">
        <v>0.64946000000000004</v>
      </c>
      <c r="G119" s="63">
        <v>42764</v>
      </c>
      <c r="H119" s="61">
        <v>0.69112666666666667</v>
      </c>
      <c r="I119" s="55">
        <v>30</v>
      </c>
      <c r="J119" s="56" t="s">
        <v>227</v>
      </c>
      <c r="K119" s="75" t="s">
        <v>230</v>
      </c>
      <c r="L119" s="70">
        <v>0</v>
      </c>
    </row>
    <row r="120" spans="1:12" ht="15" customHeight="1">
      <c r="A120" s="53" t="s">
        <v>220</v>
      </c>
      <c r="B120" s="57" t="s">
        <v>133</v>
      </c>
      <c r="C120" s="54">
        <f t="shared" si="2"/>
        <v>43045.758860000002</v>
      </c>
      <c r="D120" s="54">
        <f t="shared" si="3"/>
        <v>43045.800526666666</v>
      </c>
      <c r="E120" s="63">
        <v>43045</v>
      </c>
      <c r="F120" s="61">
        <v>0.75885999999999998</v>
      </c>
      <c r="G120" s="63">
        <v>43045</v>
      </c>
      <c r="H120" s="61">
        <v>0.80052666666666661</v>
      </c>
      <c r="I120" s="55">
        <v>30</v>
      </c>
      <c r="J120" s="56" t="s">
        <v>229</v>
      </c>
      <c r="K120" s="75" t="s">
        <v>230</v>
      </c>
      <c r="L120" s="70">
        <v>0</v>
      </c>
    </row>
    <row r="121" spans="1:12" ht="15" customHeight="1">
      <c r="A121" s="53" t="s">
        <v>220</v>
      </c>
      <c r="B121" s="53" t="s">
        <v>134</v>
      </c>
      <c r="C121" s="54">
        <f t="shared" si="2"/>
        <v>43092.72567</v>
      </c>
      <c r="D121" s="54">
        <f t="shared" si="3"/>
        <v>43092.767336666664</v>
      </c>
      <c r="E121" s="63">
        <v>43092</v>
      </c>
      <c r="F121" s="61">
        <v>0.72567000000000004</v>
      </c>
      <c r="G121" s="63">
        <v>43092</v>
      </c>
      <c r="H121" s="61">
        <v>0.76733666666666667</v>
      </c>
      <c r="I121" s="55">
        <v>30</v>
      </c>
      <c r="J121" s="56" t="s">
        <v>232</v>
      </c>
      <c r="K121" s="75" t="s">
        <v>231</v>
      </c>
      <c r="L121" s="70">
        <v>0</v>
      </c>
    </row>
    <row r="122" spans="1:12" ht="15" customHeight="1">
      <c r="A122" s="53" t="s">
        <v>220</v>
      </c>
      <c r="B122" s="53" t="s">
        <v>135</v>
      </c>
      <c r="C122" s="54">
        <f t="shared" si="2"/>
        <v>42997.340340000002</v>
      </c>
      <c r="D122" s="54">
        <f t="shared" si="3"/>
        <v>42997.382006666667</v>
      </c>
      <c r="E122" s="63">
        <v>42997</v>
      </c>
      <c r="F122" s="61">
        <v>0.34033999999999998</v>
      </c>
      <c r="G122" s="63">
        <v>42997</v>
      </c>
      <c r="H122" s="61">
        <v>0.38200666666666666</v>
      </c>
      <c r="I122" s="55">
        <v>30</v>
      </c>
      <c r="J122" s="56" t="s">
        <v>229</v>
      </c>
      <c r="K122" s="75" t="s">
        <v>231</v>
      </c>
      <c r="L122" s="70">
        <v>0</v>
      </c>
    </row>
    <row r="123" spans="1:12" ht="15" customHeight="1">
      <c r="A123" s="53" t="s">
        <v>220</v>
      </c>
      <c r="B123" s="53" t="s">
        <v>136</v>
      </c>
      <c r="C123" s="54">
        <f t="shared" si="2"/>
        <v>42837.647169999997</v>
      </c>
      <c r="D123" s="54">
        <f t="shared" si="3"/>
        <v>42837.688836666668</v>
      </c>
      <c r="E123" s="63">
        <v>42837</v>
      </c>
      <c r="F123" s="61">
        <v>0.64717000000000002</v>
      </c>
      <c r="G123" s="63">
        <v>42837</v>
      </c>
      <c r="H123" s="61">
        <v>0.68883666666666665</v>
      </c>
      <c r="I123" s="55">
        <v>30</v>
      </c>
      <c r="J123" s="56" t="s">
        <v>232</v>
      </c>
      <c r="K123" s="75" t="s">
        <v>230</v>
      </c>
      <c r="L123" s="70">
        <v>0</v>
      </c>
    </row>
    <row r="124" spans="1:12" ht="15" customHeight="1">
      <c r="A124" s="53" t="s">
        <v>220</v>
      </c>
      <c r="B124" s="53" t="s">
        <v>137</v>
      </c>
      <c r="C124" s="54">
        <f t="shared" si="2"/>
        <v>43036.3747</v>
      </c>
      <c r="D124" s="54">
        <f t="shared" si="3"/>
        <v>43036.416366666665</v>
      </c>
      <c r="E124" s="63">
        <v>43036</v>
      </c>
      <c r="F124" s="61">
        <v>0.37469999999999998</v>
      </c>
      <c r="G124" s="63">
        <v>43036</v>
      </c>
      <c r="H124" s="61">
        <v>0.41636666666666666</v>
      </c>
      <c r="I124" s="55">
        <v>30</v>
      </c>
      <c r="J124" s="56" t="s">
        <v>229</v>
      </c>
      <c r="K124" s="75" t="s">
        <v>228</v>
      </c>
      <c r="L124" s="70">
        <v>0</v>
      </c>
    </row>
    <row r="125" spans="1:12" ht="15" customHeight="1">
      <c r="A125" s="53" t="s">
        <v>220</v>
      </c>
      <c r="B125" s="53" t="s">
        <v>138</v>
      </c>
      <c r="C125" s="54">
        <f t="shared" si="2"/>
        <v>42968.510150000002</v>
      </c>
      <c r="D125" s="54">
        <f t="shared" si="3"/>
        <v>42968.551816666666</v>
      </c>
      <c r="E125" s="63">
        <v>42968</v>
      </c>
      <c r="F125" s="61">
        <v>0.51014999999999999</v>
      </c>
      <c r="G125" s="63">
        <v>42968</v>
      </c>
      <c r="H125" s="61">
        <v>0.55181666666666662</v>
      </c>
      <c r="I125" s="55">
        <v>30</v>
      </c>
      <c r="J125" s="56" t="s">
        <v>229</v>
      </c>
      <c r="K125" s="75" t="s">
        <v>231</v>
      </c>
      <c r="L125" s="70">
        <v>0</v>
      </c>
    </row>
    <row r="126" spans="1:12" ht="15" customHeight="1">
      <c r="A126" s="53" t="s">
        <v>220</v>
      </c>
      <c r="B126" s="53" t="s">
        <v>139</v>
      </c>
      <c r="C126" s="54">
        <f t="shared" si="2"/>
        <v>42843.486239999998</v>
      </c>
      <c r="D126" s="54">
        <f t="shared" si="3"/>
        <v>42843.52790666667</v>
      </c>
      <c r="E126" s="63">
        <v>42843</v>
      </c>
      <c r="F126" s="61">
        <v>0.48624000000000001</v>
      </c>
      <c r="G126" s="63">
        <v>42843</v>
      </c>
      <c r="H126" s="61">
        <v>0.52790666666666664</v>
      </c>
      <c r="I126" s="55">
        <v>30</v>
      </c>
      <c r="J126" s="56" t="s">
        <v>227</v>
      </c>
      <c r="K126" s="75" t="s">
        <v>231</v>
      </c>
      <c r="L126" s="70">
        <v>0</v>
      </c>
    </row>
    <row r="127" spans="1:12" ht="15" customHeight="1">
      <c r="A127" s="53" t="s">
        <v>220</v>
      </c>
      <c r="B127" s="53" t="s">
        <v>140</v>
      </c>
      <c r="C127" s="54">
        <f t="shared" si="2"/>
        <v>43008.663840000001</v>
      </c>
      <c r="D127" s="54">
        <f t="shared" si="3"/>
        <v>43008.705506666665</v>
      </c>
      <c r="E127" s="63">
        <v>43008</v>
      </c>
      <c r="F127" s="61">
        <v>0.66383999999999999</v>
      </c>
      <c r="G127" s="63">
        <v>43008</v>
      </c>
      <c r="H127" s="61">
        <v>0.70550666666666662</v>
      </c>
      <c r="I127" s="55">
        <v>30</v>
      </c>
      <c r="J127" s="56" t="s">
        <v>232</v>
      </c>
      <c r="K127" s="75" t="s">
        <v>230</v>
      </c>
      <c r="L127" s="70">
        <v>0</v>
      </c>
    </row>
    <row r="128" spans="1:12" ht="15" customHeight="1">
      <c r="A128" s="53" t="s">
        <v>220</v>
      </c>
      <c r="B128" s="53" t="s">
        <v>141</v>
      </c>
      <c r="C128" s="54">
        <f t="shared" si="2"/>
        <v>42855.541279999998</v>
      </c>
      <c r="D128" s="54">
        <f t="shared" si="3"/>
        <v>42855.582946666669</v>
      </c>
      <c r="E128" s="63">
        <v>42855</v>
      </c>
      <c r="F128" s="61">
        <v>0.54127999999999998</v>
      </c>
      <c r="G128" s="63">
        <v>42855</v>
      </c>
      <c r="H128" s="61">
        <v>0.58294666666666661</v>
      </c>
      <c r="I128" s="55">
        <v>30</v>
      </c>
      <c r="J128" s="56" t="s">
        <v>232</v>
      </c>
      <c r="K128" s="75" t="s">
        <v>231</v>
      </c>
      <c r="L128" s="70">
        <v>0</v>
      </c>
    </row>
    <row r="129" spans="1:12" ht="15" customHeight="1">
      <c r="A129" s="53" t="s">
        <v>220</v>
      </c>
      <c r="B129" s="53" t="s">
        <v>142</v>
      </c>
      <c r="C129" s="54">
        <f t="shared" si="2"/>
        <v>42809.659189999998</v>
      </c>
      <c r="D129" s="54">
        <f t="shared" si="3"/>
        <v>42809.70085666667</v>
      </c>
      <c r="E129" s="63">
        <v>42809</v>
      </c>
      <c r="F129" s="61">
        <v>0.65919000000000005</v>
      </c>
      <c r="G129" s="63">
        <v>42809</v>
      </c>
      <c r="H129" s="61">
        <v>0.70085666666666668</v>
      </c>
      <c r="I129" s="55">
        <v>30</v>
      </c>
      <c r="J129" s="56" t="s">
        <v>232</v>
      </c>
      <c r="K129" s="75" t="s">
        <v>230</v>
      </c>
      <c r="L129" s="70">
        <v>0</v>
      </c>
    </row>
    <row r="130" spans="1:12" ht="15" customHeight="1">
      <c r="A130" s="53" t="s">
        <v>220</v>
      </c>
      <c r="B130" s="53" t="s">
        <v>143</v>
      </c>
      <c r="C130" s="54">
        <f t="shared" si="2"/>
        <v>42826.363649999999</v>
      </c>
      <c r="D130" s="54">
        <f t="shared" si="3"/>
        <v>42826.405316666664</v>
      </c>
      <c r="E130" s="63">
        <v>42826</v>
      </c>
      <c r="F130" s="61">
        <v>0.36364999999999997</v>
      </c>
      <c r="G130" s="63">
        <v>42826</v>
      </c>
      <c r="H130" s="61">
        <v>0.40531666666666666</v>
      </c>
      <c r="I130" s="55">
        <v>30</v>
      </c>
      <c r="J130" s="56" t="s">
        <v>232</v>
      </c>
      <c r="K130" s="75" t="s">
        <v>231</v>
      </c>
      <c r="L130" s="70">
        <v>0</v>
      </c>
    </row>
    <row r="131" spans="1:12" ht="15" customHeight="1">
      <c r="A131" s="53" t="s">
        <v>220</v>
      </c>
      <c r="B131" s="53" t="s">
        <v>144</v>
      </c>
      <c r="C131" s="54">
        <f t="shared" ref="C131:C194" si="4">E131+F131</f>
        <v>43097.518349999998</v>
      </c>
      <c r="D131" s="54">
        <f t="shared" ref="D131:D194" si="5">G131+H131</f>
        <v>43097.56001666667</v>
      </c>
      <c r="E131" s="63">
        <v>43097</v>
      </c>
      <c r="F131" s="61">
        <v>0.51834999999999998</v>
      </c>
      <c r="G131" s="63">
        <v>43097</v>
      </c>
      <c r="H131" s="61">
        <v>0.56001666666666661</v>
      </c>
      <c r="I131" s="55">
        <v>30</v>
      </c>
      <c r="J131" s="56" t="s">
        <v>227</v>
      </c>
      <c r="K131" s="75" t="s">
        <v>230</v>
      </c>
      <c r="L131" s="70">
        <v>0</v>
      </c>
    </row>
    <row r="132" spans="1:12" ht="15" customHeight="1">
      <c r="A132" s="53" t="s">
        <v>220</v>
      </c>
      <c r="B132" s="53" t="s">
        <v>145</v>
      </c>
      <c r="C132" s="54">
        <f t="shared" si="4"/>
        <v>42864.350270000003</v>
      </c>
      <c r="D132" s="54">
        <f t="shared" si="5"/>
        <v>42864.391936666667</v>
      </c>
      <c r="E132" s="63">
        <v>42864</v>
      </c>
      <c r="F132" s="61">
        <v>0.35027000000000003</v>
      </c>
      <c r="G132" s="63">
        <v>42864</v>
      </c>
      <c r="H132" s="61">
        <v>0.39193666666666671</v>
      </c>
      <c r="I132" s="55">
        <v>30</v>
      </c>
      <c r="J132" s="56" t="s">
        <v>229</v>
      </c>
      <c r="K132" s="75" t="s">
        <v>230</v>
      </c>
      <c r="L132" s="70">
        <v>0</v>
      </c>
    </row>
    <row r="133" spans="1:12" ht="15" customHeight="1">
      <c r="A133" s="53" t="s">
        <v>220</v>
      </c>
      <c r="B133" s="53" t="s">
        <v>146</v>
      </c>
      <c r="C133" s="54">
        <f t="shared" si="4"/>
        <v>42925.748269999996</v>
      </c>
      <c r="D133" s="54">
        <f t="shared" si="5"/>
        <v>42925.789936666668</v>
      </c>
      <c r="E133" s="63">
        <v>42925</v>
      </c>
      <c r="F133" s="61">
        <v>0.74826999999999999</v>
      </c>
      <c r="G133" s="63">
        <v>42925</v>
      </c>
      <c r="H133" s="61">
        <v>0.78993666666666662</v>
      </c>
      <c r="I133" s="55">
        <v>30</v>
      </c>
      <c r="J133" s="56" t="s">
        <v>232</v>
      </c>
      <c r="K133" s="75" t="s">
        <v>228</v>
      </c>
      <c r="L133" s="70">
        <v>0</v>
      </c>
    </row>
    <row r="134" spans="1:12" ht="15" customHeight="1">
      <c r="A134" s="53" t="s">
        <v>220</v>
      </c>
      <c r="B134" s="57" t="s">
        <v>147</v>
      </c>
      <c r="C134" s="54">
        <f t="shared" si="4"/>
        <v>42820.711450000003</v>
      </c>
      <c r="D134" s="54">
        <f t="shared" si="5"/>
        <v>42820.753116666667</v>
      </c>
      <c r="E134" s="63">
        <v>42820</v>
      </c>
      <c r="F134" s="61">
        <v>0.71145000000000003</v>
      </c>
      <c r="G134" s="63">
        <v>42820</v>
      </c>
      <c r="H134" s="61">
        <v>0.75311666666666666</v>
      </c>
      <c r="I134" s="55">
        <v>30</v>
      </c>
      <c r="J134" s="56" t="s">
        <v>227</v>
      </c>
      <c r="K134" s="75" t="s">
        <v>231</v>
      </c>
      <c r="L134" s="70">
        <v>0</v>
      </c>
    </row>
    <row r="135" spans="1:12" ht="15" customHeight="1">
      <c r="A135" s="53" t="s">
        <v>220</v>
      </c>
      <c r="B135" s="53" t="s">
        <v>148</v>
      </c>
      <c r="C135" s="54">
        <f t="shared" si="4"/>
        <v>42774.492149999998</v>
      </c>
      <c r="D135" s="54">
        <f t="shared" si="5"/>
        <v>42774.53381666667</v>
      </c>
      <c r="E135" s="63">
        <v>42774</v>
      </c>
      <c r="F135" s="61">
        <v>0.49214999999999998</v>
      </c>
      <c r="G135" s="63">
        <v>42774</v>
      </c>
      <c r="H135" s="61">
        <v>0.53381666666666661</v>
      </c>
      <c r="I135" s="55">
        <v>30</v>
      </c>
      <c r="J135" s="56" t="s">
        <v>229</v>
      </c>
      <c r="K135" s="75" t="s">
        <v>228</v>
      </c>
      <c r="L135" s="70">
        <v>0</v>
      </c>
    </row>
    <row r="136" spans="1:12" ht="15" customHeight="1">
      <c r="A136" s="53" t="s">
        <v>220</v>
      </c>
      <c r="B136" s="53" t="s">
        <v>149</v>
      </c>
      <c r="C136" s="54">
        <f t="shared" si="4"/>
        <v>43077.600339999997</v>
      </c>
      <c r="D136" s="54">
        <f t="shared" si="5"/>
        <v>43077.642006666669</v>
      </c>
      <c r="E136" s="63">
        <v>43077</v>
      </c>
      <c r="F136" s="61">
        <v>0.60033999999999998</v>
      </c>
      <c r="G136" s="63">
        <v>43077</v>
      </c>
      <c r="H136" s="61">
        <v>0.64200666666666661</v>
      </c>
      <c r="I136" s="55">
        <v>30</v>
      </c>
      <c r="J136" s="56" t="s">
        <v>227</v>
      </c>
      <c r="K136" s="75" t="s">
        <v>231</v>
      </c>
      <c r="L136" s="70">
        <v>0</v>
      </c>
    </row>
    <row r="137" spans="1:12" ht="15" customHeight="1">
      <c r="A137" s="53" t="s">
        <v>220</v>
      </c>
      <c r="B137" s="53" t="s">
        <v>150</v>
      </c>
      <c r="C137" s="54">
        <f t="shared" si="4"/>
        <v>42842.666429999997</v>
      </c>
      <c r="D137" s="54">
        <f t="shared" si="5"/>
        <v>42842.708096666669</v>
      </c>
      <c r="E137" s="63">
        <v>42842</v>
      </c>
      <c r="F137" s="61">
        <v>0.66642999999999997</v>
      </c>
      <c r="G137" s="63">
        <v>42842</v>
      </c>
      <c r="H137" s="61">
        <v>0.7080966666666666</v>
      </c>
      <c r="I137" s="55">
        <v>30</v>
      </c>
      <c r="J137" s="56" t="s">
        <v>232</v>
      </c>
      <c r="K137" s="75" t="s">
        <v>230</v>
      </c>
      <c r="L137" s="70">
        <v>0</v>
      </c>
    </row>
    <row r="138" spans="1:12" ht="15" customHeight="1">
      <c r="A138" s="53" t="s">
        <v>220</v>
      </c>
      <c r="B138" s="53" t="s">
        <v>151</v>
      </c>
      <c r="C138" s="54">
        <f t="shared" si="4"/>
        <v>42960.484429999997</v>
      </c>
      <c r="D138" s="54">
        <f t="shared" si="5"/>
        <v>42960.526096666668</v>
      </c>
      <c r="E138" s="63">
        <v>42960</v>
      </c>
      <c r="F138" s="61">
        <v>0.48443000000000003</v>
      </c>
      <c r="G138" s="63">
        <v>42960</v>
      </c>
      <c r="H138" s="61">
        <v>0.52609666666666666</v>
      </c>
      <c r="I138" s="55">
        <v>30</v>
      </c>
      <c r="J138" s="56" t="s">
        <v>232</v>
      </c>
      <c r="K138" s="75" t="s">
        <v>230</v>
      </c>
      <c r="L138" s="70">
        <v>0</v>
      </c>
    </row>
    <row r="139" spans="1:12" ht="15" customHeight="1">
      <c r="A139" s="53" t="s">
        <v>220</v>
      </c>
      <c r="B139" s="53" t="s">
        <v>152</v>
      </c>
      <c r="C139" s="54">
        <f t="shared" si="4"/>
        <v>43074.44197</v>
      </c>
      <c r="D139" s="54">
        <f t="shared" si="5"/>
        <v>43074.483636666664</v>
      </c>
      <c r="E139" s="63">
        <v>43074</v>
      </c>
      <c r="F139" s="61">
        <v>0.44196999999999997</v>
      </c>
      <c r="G139" s="63">
        <v>43074</v>
      </c>
      <c r="H139" s="61">
        <v>0.48363666666666666</v>
      </c>
      <c r="I139" s="55">
        <v>30</v>
      </c>
      <c r="J139" s="56" t="s">
        <v>227</v>
      </c>
      <c r="K139" s="75" t="s">
        <v>230</v>
      </c>
      <c r="L139" s="70">
        <v>0</v>
      </c>
    </row>
    <row r="140" spans="1:12" ht="15" customHeight="1">
      <c r="A140" s="53" t="s">
        <v>220</v>
      </c>
      <c r="B140" s="53" t="s">
        <v>153</v>
      </c>
      <c r="C140" s="54">
        <f t="shared" si="4"/>
        <v>43044.630169999997</v>
      </c>
      <c r="D140" s="54">
        <f t="shared" si="5"/>
        <v>43044.671836666668</v>
      </c>
      <c r="E140" s="63">
        <v>43044</v>
      </c>
      <c r="F140" s="61">
        <v>0.63017000000000001</v>
      </c>
      <c r="G140" s="63">
        <v>43044</v>
      </c>
      <c r="H140" s="61">
        <v>0.67183666666666664</v>
      </c>
      <c r="I140" s="55">
        <v>30</v>
      </c>
      <c r="J140" s="56" t="s">
        <v>232</v>
      </c>
      <c r="K140" s="75" t="s">
        <v>231</v>
      </c>
      <c r="L140" s="70">
        <v>0</v>
      </c>
    </row>
    <row r="141" spans="1:12" ht="15" customHeight="1">
      <c r="A141" s="53" t="s">
        <v>220</v>
      </c>
      <c r="B141" s="57" t="s">
        <v>154</v>
      </c>
      <c r="C141" s="54">
        <f t="shared" si="4"/>
        <v>42828.470240000002</v>
      </c>
      <c r="D141" s="54">
        <f t="shared" si="5"/>
        <v>42828.511906666667</v>
      </c>
      <c r="E141" s="63">
        <v>42828</v>
      </c>
      <c r="F141" s="61">
        <v>0.47023999999999999</v>
      </c>
      <c r="G141" s="63">
        <v>42828</v>
      </c>
      <c r="H141" s="61">
        <v>0.51190666666666662</v>
      </c>
      <c r="I141" s="55">
        <v>30</v>
      </c>
      <c r="J141" s="56" t="s">
        <v>229</v>
      </c>
      <c r="K141" s="75" t="s">
        <v>228</v>
      </c>
      <c r="L141" s="70">
        <v>0</v>
      </c>
    </row>
    <row r="142" spans="1:12" ht="15" customHeight="1">
      <c r="A142" s="53" t="s">
        <v>220</v>
      </c>
      <c r="B142" s="53" t="s">
        <v>155</v>
      </c>
      <c r="C142" s="54">
        <f t="shared" si="4"/>
        <v>42770.498829999997</v>
      </c>
      <c r="D142" s="54">
        <f t="shared" si="5"/>
        <v>42770.540496666668</v>
      </c>
      <c r="E142" s="63">
        <v>42770</v>
      </c>
      <c r="F142" s="61">
        <v>0.49883</v>
      </c>
      <c r="G142" s="63">
        <v>42770</v>
      </c>
      <c r="H142" s="61">
        <v>0.54049666666666663</v>
      </c>
      <c r="I142" s="55">
        <v>30</v>
      </c>
      <c r="J142" s="56" t="s">
        <v>232</v>
      </c>
      <c r="K142" s="75" t="s">
        <v>231</v>
      </c>
      <c r="L142" s="70">
        <v>0</v>
      </c>
    </row>
    <row r="143" spans="1:12" ht="15" customHeight="1">
      <c r="A143" s="53" t="s">
        <v>220</v>
      </c>
      <c r="B143" s="53" t="s">
        <v>156</v>
      </c>
      <c r="C143" s="54">
        <f t="shared" si="4"/>
        <v>42763.418689999999</v>
      </c>
      <c r="D143" s="54">
        <f t="shared" si="5"/>
        <v>42763.46035666667</v>
      </c>
      <c r="E143" s="63">
        <v>42763</v>
      </c>
      <c r="F143" s="61">
        <v>0.41869000000000001</v>
      </c>
      <c r="G143" s="63">
        <v>42763</v>
      </c>
      <c r="H143" s="61">
        <v>0.46035666666666669</v>
      </c>
      <c r="I143" s="55">
        <v>30</v>
      </c>
      <c r="J143" s="56" t="s">
        <v>229</v>
      </c>
      <c r="K143" s="75" t="s">
        <v>230</v>
      </c>
      <c r="L143" s="70">
        <v>0</v>
      </c>
    </row>
    <row r="144" spans="1:12" ht="15" customHeight="1">
      <c r="A144" s="53" t="s">
        <v>220</v>
      </c>
      <c r="B144" s="53" t="s">
        <v>157</v>
      </c>
      <c r="C144" s="54">
        <f t="shared" si="4"/>
        <v>42963.5144</v>
      </c>
      <c r="D144" s="54">
        <f t="shared" si="5"/>
        <v>42963.556066666664</v>
      </c>
      <c r="E144" s="63">
        <v>42963</v>
      </c>
      <c r="F144" s="61">
        <v>0.51439999999999997</v>
      </c>
      <c r="G144" s="63">
        <v>42963</v>
      </c>
      <c r="H144" s="61">
        <v>0.5560666666666666</v>
      </c>
      <c r="I144" s="55">
        <v>30</v>
      </c>
      <c r="J144" s="56" t="s">
        <v>232</v>
      </c>
      <c r="K144" s="75" t="s">
        <v>228</v>
      </c>
      <c r="L144" s="70">
        <v>0</v>
      </c>
    </row>
    <row r="145" spans="1:12" ht="15" customHeight="1">
      <c r="A145" s="53" t="s">
        <v>220</v>
      </c>
      <c r="B145" s="53" t="s">
        <v>158</v>
      </c>
      <c r="C145" s="54">
        <f t="shared" si="4"/>
        <v>43060.419099999999</v>
      </c>
      <c r="D145" s="54">
        <f t="shared" si="5"/>
        <v>43060.460766666663</v>
      </c>
      <c r="E145" s="63">
        <v>43060</v>
      </c>
      <c r="F145" s="61">
        <v>0.41909999999999997</v>
      </c>
      <c r="G145" s="63">
        <v>43060</v>
      </c>
      <c r="H145" s="61">
        <v>0.46076666666666666</v>
      </c>
      <c r="I145" s="55">
        <v>30</v>
      </c>
      <c r="J145" s="56" t="s">
        <v>229</v>
      </c>
      <c r="K145" s="75" t="s">
        <v>230</v>
      </c>
      <c r="L145" s="70">
        <v>0</v>
      </c>
    </row>
    <row r="146" spans="1:12" ht="15" customHeight="1">
      <c r="A146" s="53" t="s">
        <v>220</v>
      </c>
      <c r="B146" s="53" t="s">
        <v>159</v>
      </c>
      <c r="C146" s="54">
        <f t="shared" si="4"/>
        <v>42823.582920000001</v>
      </c>
      <c r="D146" s="54">
        <f t="shared" si="5"/>
        <v>42823.624586666665</v>
      </c>
      <c r="E146" s="63">
        <v>42823</v>
      </c>
      <c r="F146" s="61">
        <v>0.58291999999999999</v>
      </c>
      <c r="G146" s="63">
        <v>42823</v>
      </c>
      <c r="H146" s="61">
        <v>0.62458666666666662</v>
      </c>
      <c r="I146" s="55">
        <v>30</v>
      </c>
      <c r="J146" s="56" t="s">
        <v>229</v>
      </c>
      <c r="K146" s="75" t="s">
        <v>228</v>
      </c>
      <c r="L146" s="70">
        <v>0</v>
      </c>
    </row>
    <row r="147" spans="1:12" ht="15" customHeight="1">
      <c r="A147" s="53" t="s">
        <v>220</v>
      </c>
      <c r="B147" s="53" t="s">
        <v>160</v>
      </c>
      <c r="C147" s="54">
        <f t="shared" si="4"/>
        <v>42938.485159999997</v>
      </c>
      <c r="D147" s="54">
        <f t="shared" si="5"/>
        <v>42938.526826666668</v>
      </c>
      <c r="E147" s="63">
        <v>42938</v>
      </c>
      <c r="F147" s="61">
        <v>0.48515999999999998</v>
      </c>
      <c r="G147" s="63">
        <v>42938</v>
      </c>
      <c r="H147" s="61">
        <v>0.52682666666666667</v>
      </c>
      <c r="I147" s="55">
        <v>30</v>
      </c>
      <c r="J147" s="56" t="s">
        <v>232</v>
      </c>
      <c r="K147" s="75" t="s">
        <v>231</v>
      </c>
      <c r="L147" s="70">
        <v>0</v>
      </c>
    </row>
    <row r="148" spans="1:12" ht="15" customHeight="1">
      <c r="A148" s="53" t="s">
        <v>220</v>
      </c>
      <c r="B148" s="53" t="s">
        <v>161</v>
      </c>
      <c r="C148" s="54">
        <f t="shared" si="4"/>
        <v>43096.64054</v>
      </c>
      <c r="D148" s="54">
        <f t="shared" si="5"/>
        <v>43096.682206666665</v>
      </c>
      <c r="E148" s="63">
        <v>43096</v>
      </c>
      <c r="F148" s="61">
        <v>0.64054</v>
      </c>
      <c r="G148" s="63">
        <v>43096</v>
      </c>
      <c r="H148" s="61">
        <v>0.68220666666666663</v>
      </c>
      <c r="I148" s="55">
        <v>30</v>
      </c>
      <c r="J148" s="56" t="s">
        <v>227</v>
      </c>
      <c r="K148" s="75" t="s">
        <v>230</v>
      </c>
      <c r="L148" s="70">
        <v>0</v>
      </c>
    </row>
    <row r="149" spans="1:12" ht="15" customHeight="1">
      <c r="A149" s="53" t="s">
        <v>220</v>
      </c>
      <c r="B149" s="53" t="s">
        <v>162</v>
      </c>
      <c r="C149" s="54">
        <f t="shared" si="4"/>
        <v>42799.50202</v>
      </c>
      <c r="D149" s="54">
        <f t="shared" si="5"/>
        <v>42799.543686666664</v>
      </c>
      <c r="E149" s="63">
        <v>42799</v>
      </c>
      <c r="F149" s="61">
        <v>0.50202000000000002</v>
      </c>
      <c r="G149" s="63">
        <v>42799</v>
      </c>
      <c r="H149" s="61">
        <v>0.54368666666666665</v>
      </c>
      <c r="I149" s="55">
        <v>30</v>
      </c>
      <c r="J149" s="56" t="s">
        <v>229</v>
      </c>
      <c r="K149" s="75" t="s">
        <v>230</v>
      </c>
      <c r="L149" s="70">
        <v>0</v>
      </c>
    </row>
    <row r="150" spans="1:12" ht="15" customHeight="1">
      <c r="A150" s="53" t="s">
        <v>220</v>
      </c>
      <c r="B150" s="53" t="s">
        <v>163</v>
      </c>
      <c r="C150" s="54">
        <f t="shared" si="4"/>
        <v>42969.587119999997</v>
      </c>
      <c r="D150" s="54">
        <f t="shared" si="5"/>
        <v>42969.628786666668</v>
      </c>
      <c r="E150" s="63">
        <v>42969</v>
      </c>
      <c r="F150" s="61">
        <v>0.58711999999999998</v>
      </c>
      <c r="G150" s="63">
        <v>42969</v>
      </c>
      <c r="H150" s="61">
        <v>0.6287866666666666</v>
      </c>
      <c r="I150" s="55">
        <v>30</v>
      </c>
      <c r="J150" s="56" t="s">
        <v>229</v>
      </c>
      <c r="K150" s="75" t="s">
        <v>231</v>
      </c>
      <c r="L150" s="70">
        <v>0</v>
      </c>
    </row>
    <row r="151" spans="1:12" ht="15" customHeight="1">
      <c r="A151" s="53" t="s">
        <v>220</v>
      </c>
      <c r="B151" s="53" t="s">
        <v>164</v>
      </c>
      <c r="C151" s="54">
        <f t="shared" si="4"/>
        <v>42961.578049999996</v>
      </c>
      <c r="D151" s="54">
        <f t="shared" si="5"/>
        <v>42961.619716666668</v>
      </c>
      <c r="E151" s="63">
        <v>42961</v>
      </c>
      <c r="F151" s="61">
        <v>0.57804999999999995</v>
      </c>
      <c r="G151" s="63">
        <v>42961</v>
      </c>
      <c r="H151" s="61">
        <v>0.61971666666666658</v>
      </c>
      <c r="I151" s="55">
        <v>30</v>
      </c>
      <c r="J151" s="56" t="s">
        <v>232</v>
      </c>
      <c r="K151" s="75" t="s">
        <v>231</v>
      </c>
      <c r="L151" s="70">
        <v>0</v>
      </c>
    </row>
    <row r="152" spans="1:12" ht="15" customHeight="1">
      <c r="A152" s="53" t="s">
        <v>220</v>
      </c>
      <c r="B152" s="53" t="s">
        <v>165</v>
      </c>
      <c r="C152" s="54">
        <f t="shared" si="4"/>
        <v>42975.599249999999</v>
      </c>
      <c r="D152" s="54">
        <f t="shared" si="5"/>
        <v>42975.640916666664</v>
      </c>
      <c r="E152" s="63">
        <v>42975</v>
      </c>
      <c r="F152" s="61">
        <v>0.59924999999999995</v>
      </c>
      <c r="G152" s="63">
        <v>42975</v>
      </c>
      <c r="H152" s="61">
        <v>0.64091666666666658</v>
      </c>
      <c r="I152" s="55">
        <v>30</v>
      </c>
      <c r="J152" s="56" t="s">
        <v>229</v>
      </c>
      <c r="K152" s="75" t="s">
        <v>228</v>
      </c>
      <c r="L152" s="70">
        <v>0</v>
      </c>
    </row>
    <row r="153" spans="1:12" ht="15" customHeight="1">
      <c r="A153" s="53" t="s">
        <v>220</v>
      </c>
      <c r="B153" s="53" t="s">
        <v>166</v>
      </c>
      <c r="C153" s="54">
        <f t="shared" si="4"/>
        <v>42745.470209999999</v>
      </c>
      <c r="D153" s="54">
        <f t="shared" si="5"/>
        <v>42745.511876666664</v>
      </c>
      <c r="E153" s="63">
        <v>42745</v>
      </c>
      <c r="F153" s="61">
        <v>0.47021000000000002</v>
      </c>
      <c r="G153" s="63">
        <v>42745</v>
      </c>
      <c r="H153" s="61">
        <v>0.51187666666666665</v>
      </c>
      <c r="I153" s="55">
        <v>30</v>
      </c>
      <c r="J153" s="56" t="s">
        <v>232</v>
      </c>
      <c r="K153" s="75" t="s">
        <v>228</v>
      </c>
      <c r="L153" s="70">
        <v>0</v>
      </c>
    </row>
    <row r="154" spans="1:12" ht="15" customHeight="1">
      <c r="A154" s="53" t="s">
        <v>220</v>
      </c>
      <c r="B154" s="53" t="s">
        <v>167</v>
      </c>
      <c r="C154" s="54">
        <f t="shared" si="4"/>
        <v>42752.593540000002</v>
      </c>
      <c r="D154" s="54">
        <f t="shared" si="5"/>
        <v>42752.635206666666</v>
      </c>
      <c r="E154" s="63">
        <v>42752</v>
      </c>
      <c r="F154" s="61">
        <v>0.59353999999999996</v>
      </c>
      <c r="G154" s="63">
        <v>42752</v>
      </c>
      <c r="H154" s="61">
        <v>0.63520666666666659</v>
      </c>
      <c r="I154" s="55">
        <v>30</v>
      </c>
      <c r="J154" s="56" t="s">
        <v>232</v>
      </c>
      <c r="K154" s="75" t="s">
        <v>228</v>
      </c>
      <c r="L154" s="70">
        <v>0</v>
      </c>
    </row>
    <row r="155" spans="1:12" ht="15" customHeight="1">
      <c r="A155" s="53" t="s">
        <v>220</v>
      </c>
      <c r="B155" s="58" t="s">
        <v>168</v>
      </c>
      <c r="C155" s="54">
        <f t="shared" si="4"/>
        <v>42861.614609999997</v>
      </c>
      <c r="D155" s="54">
        <f t="shared" si="5"/>
        <v>42861.656276666668</v>
      </c>
      <c r="E155" s="63">
        <v>42861</v>
      </c>
      <c r="F155" s="61">
        <v>0.61460999999999999</v>
      </c>
      <c r="G155" s="63">
        <v>42861</v>
      </c>
      <c r="H155" s="61">
        <v>0.65627666666666662</v>
      </c>
      <c r="I155" s="55">
        <v>30</v>
      </c>
      <c r="J155" s="56" t="s">
        <v>229</v>
      </c>
      <c r="K155" s="75" t="s">
        <v>231</v>
      </c>
      <c r="L155" s="70">
        <v>0</v>
      </c>
    </row>
    <row r="156" spans="1:12" ht="15" customHeight="1">
      <c r="A156" s="53" t="s">
        <v>220</v>
      </c>
      <c r="B156" s="53" t="s">
        <v>169</v>
      </c>
      <c r="C156" s="54">
        <f t="shared" si="4"/>
        <v>42822.56379</v>
      </c>
      <c r="D156" s="54">
        <f t="shared" si="5"/>
        <v>42822.605456666664</v>
      </c>
      <c r="E156" s="63">
        <v>42822</v>
      </c>
      <c r="F156" s="61">
        <v>0.56379000000000001</v>
      </c>
      <c r="G156" s="63">
        <v>42822</v>
      </c>
      <c r="H156" s="61">
        <v>0.60545666666666664</v>
      </c>
      <c r="I156" s="55">
        <v>30</v>
      </c>
      <c r="J156" s="56" t="s">
        <v>229</v>
      </c>
      <c r="K156" s="75" t="s">
        <v>228</v>
      </c>
      <c r="L156" s="70">
        <v>0</v>
      </c>
    </row>
    <row r="157" spans="1:12" ht="15" customHeight="1">
      <c r="A157" s="53" t="s">
        <v>220</v>
      </c>
      <c r="B157" s="53" t="s">
        <v>170</v>
      </c>
      <c r="C157" s="54">
        <f t="shared" si="4"/>
        <v>42824.488890000001</v>
      </c>
      <c r="D157" s="54">
        <f t="shared" si="5"/>
        <v>42824.530556666665</v>
      </c>
      <c r="E157" s="63">
        <v>42824</v>
      </c>
      <c r="F157" s="61">
        <v>0.48888999999999999</v>
      </c>
      <c r="G157" s="63">
        <v>42824</v>
      </c>
      <c r="H157" s="61">
        <v>0.53055666666666668</v>
      </c>
      <c r="I157" s="55">
        <v>30</v>
      </c>
      <c r="J157" s="56" t="s">
        <v>227</v>
      </c>
      <c r="K157" s="75" t="s">
        <v>228</v>
      </c>
      <c r="L157" s="70">
        <v>0</v>
      </c>
    </row>
    <row r="158" spans="1:12" ht="15" customHeight="1">
      <c r="A158" s="53" t="s">
        <v>220</v>
      </c>
      <c r="B158" s="53" t="s">
        <v>171</v>
      </c>
      <c r="C158" s="54">
        <f t="shared" si="4"/>
        <v>43100.492599999998</v>
      </c>
      <c r="D158" s="54">
        <f t="shared" si="5"/>
        <v>43100.534266666669</v>
      </c>
      <c r="E158" s="63">
        <v>43100</v>
      </c>
      <c r="F158" s="61">
        <v>0.49259999999999998</v>
      </c>
      <c r="G158" s="63">
        <v>43100</v>
      </c>
      <c r="H158" s="61">
        <v>0.53426666666666667</v>
      </c>
      <c r="I158" s="55">
        <v>30</v>
      </c>
      <c r="J158" s="56" t="s">
        <v>232</v>
      </c>
      <c r="K158" s="75" t="s">
        <v>228</v>
      </c>
      <c r="L158" s="70">
        <v>0</v>
      </c>
    </row>
    <row r="159" spans="1:12" ht="15" customHeight="1">
      <c r="A159" s="53" t="s">
        <v>220</v>
      </c>
      <c r="B159" s="53" t="s">
        <v>172</v>
      </c>
      <c r="C159" s="54">
        <f t="shared" si="4"/>
        <v>42736.35007</v>
      </c>
      <c r="D159" s="54">
        <f t="shared" si="5"/>
        <v>42736.391736666665</v>
      </c>
      <c r="E159" s="63">
        <v>42736</v>
      </c>
      <c r="F159" s="61">
        <v>0.35006999999999999</v>
      </c>
      <c r="G159" s="63">
        <v>42736</v>
      </c>
      <c r="H159" s="61">
        <v>0.39173666666666668</v>
      </c>
      <c r="I159" s="55">
        <v>30</v>
      </c>
      <c r="J159" s="56" t="s">
        <v>232</v>
      </c>
      <c r="K159" s="75" t="s">
        <v>231</v>
      </c>
      <c r="L159" s="70">
        <v>0</v>
      </c>
    </row>
    <row r="160" spans="1:12" ht="15" customHeight="1">
      <c r="A160" s="53" t="s">
        <v>220</v>
      </c>
      <c r="B160" s="53" t="s">
        <v>173</v>
      </c>
      <c r="C160" s="54">
        <f t="shared" si="4"/>
        <v>42886.593339999999</v>
      </c>
      <c r="D160" s="54">
        <f t="shared" si="5"/>
        <v>42886.635006666664</v>
      </c>
      <c r="E160" s="63">
        <v>42886</v>
      </c>
      <c r="F160" s="61">
        <v>0.59333999999999998</v>
      </c>
      <c r="G160" s="63">
        <v>42886</v>
      </c>
      <c r="H160" s="61">
        <v>0.63500666666666661</v>
      </c>
      <c r="I160" s="55">
        <v>30</v>
      </c>
      <c r="J160" s="56" t="s">
        <v>229</v>
      </c>
      <c r="K160" s="75" t="s">
        <v>228</v>
      </c>
      <c r="L160" s="70">
        <v>0</v>
      </c>
    </row>
    <row r="161" spans="1:12" ht="15" customHeight="1">
      <c r="A161" s="53" t="s">
        <v>220</v>
      </c>
      <c r="B161" s="53" t="s">
        <v>174</v>
      </c>
      <c r="C161" s="54">
        <f t="shared" si="4"/>
        <v>42972.375079999998</v>
      </c>
      <c r="D161" s="54">
        <f t="shared" si="5"/>
        <v>42972.416746666669</v>
      </c>
      <c r="E161" s="63">
        <v>42972</v>
      </c>
      <c r="F161" s="61">
        <v>0.37508000000000002</v>
      </c>
      <c r="G161" s="63">
        <v>42972</v>
      </c>
      <c r="H161" s="61">
        <v>0.41674666666666671</v>
      </c>
      <c r="I161" s="55">
        <v>30</v>
      </c>
      <c r="J161" s="56" t="s">
        <v>229</v>
      </c>
      <c r="K161" s="75" t="s">
        <v>228</v>
      </c>
      <c r="L161" s="70">
        <v>0</v>
      </c>
    </row>
    <row r="162" spans="1:12" ht="15" customHeight="1">
      <c r="A162" s="53" t="s">
        <v>220</v>
      </c>
      <c r="B162" s="53" t="s">
        <v>175</v>
      </c>
      <c r="C162" s="54">
        <f t="shared" si="4"/>
        <v>42748.357689999997</v>
      </c>
      <c r="D162" s="54">
        <f t="shared" si="5"/>
        <v>42748.399356666669</v>
      </c>
      <c r="E162" s="63">
        <v>42748</v>
      </c>
      <c r="F162" s="61">
        <v>0.35769000000000001</v>
      </c>
      <c r="G162" s="63">
        <v>42748</v>
      </c>
      <c r="H162" s="61">
        <v>0.39935666666666669</v>
      </c>
      <c r="I162" s="55">
        <v>30</v>
      </c>
      <c r="J162" s="56" t="s">
        <v>229</v>
      </c>
      <c r="K162" s="75" t="s">
        <v>231</v>
      </c>
      <c r="L162" s="70">
        <v>0</v>
      </c>
    </row>
    <row r="163" spans="1:12" ht="15" customHeight="1">
      <c r="A163" s="53" t="s">
        <v>220</v>
      </c>
      <c r="B163" s="53" t="s">
        <v>176</v>
      </c>
      <c r="C163" s="54">
        <f t="shared" si="4"/>
        <v>42947.472560000002</v>
      </c>
      <c r="D163" s="54">
        <f t="shared" si="5"/>
        <v>42947.514226666666</v>
      </c>
      <c r="E163" s="63">
        <v>42947</v>
      </c>
      <c r="F163" s="61">
        <v>0.47255999999999998</v>
      </c>
      <c r="G163" s="63">
        <v>42947</v>
      </c>
      <c r="H163" s="61">
        <v>0.51422666666666661</v>
      </c>
      <c r="I163" s="55">
        <v>30</v>
      </c>
      <c r="J163" s="56" t="s">
        <v>229</v>
      </c>
      <c r="K163" s="75" t="s">
        <v>228</v>
      </c>
      <c r="L163" s="70">
        <v>0</v>
      </c>
    </row>
    <row r="164" spans="1:12" ht="15" customHeight="1">
      <c r="A164" s="53" t="s">
        <v>220</v>
      </c>
      <c r="B164" s="53" t="s">
        <v>177</v>
      </c>
      <c r="C164" s="54">
        <f t="shared" si="4"/>
        <v>42951.61391</v>
      </c>
      <c r="D164" s="54">
        <f t="shared" si="5"/>
        <v>42951.655576666664</v>
      </c>
      <c r="E164" s="63">
        <v>42951</v>
      </c>
      <c r="F164" s="61">
        <v>0.61390999999999996</v>
      </c>
      <c r="G164" s="63">
        <v>42951</v>
      </c>
      <c r="H164" s="61">
        <v>0.65557666666666659</v>
      </c>
      <c r="I164" s="55">
        <v>30</v>
      </c>
      <c r="J164" s="56" t="s">
        <v>232</v>
      </c>
      <c r="K164" s="75" t="s">
        <v>230</v>
      </c>
      <c r="L164" s="70">
        <v>0</v>
      </c>
    </row>
    <row r="165" spans="1:12" ht="15" customHeight="1">
      <c r="A165" s="53" t="s">
        <v>220</v>
      </c>
      <c r="B165" s="53" t="s">
        <v>178</v>
      </c>
      <c r="C165" s="54">
        <f t="shared" si="4"/>
        <v>43026.414599999996</v>
      </c>
      <c r="D165" s="54">
        <f t="shared" si="5"/>
        <v>43026.456266666668</v>
      </c>
      <c r="E165" s="63">
        <v>43026</v>
      </c>
      <c r="F165" s="61">
        <v>0.41460000000000002</v>
      </c>
      <c r="G165" s="63">
        <v>43026</v>
      </c>
      <c r="H165" s="61">
        <v>0.45626666666666671</v>
      </c>
      <c r="I165" s="55">
        <v>30</v>
      </c>
      <c r="J165" s="56" t="s">
        <v>229</v>
      </c>
      <c r="K165" s="75" t="s">
        <v>228</v>
      </c>
      <c r="L165" s="70">
        <v>0</v>
      </c>
    </row>
    <row r="166" spans="1:12" ht="15" customHeight="1">
      <c r="A166" s="53" t="s">
        <v>220</v>
      </c>
      <c r="B166" s="53" t="s">
        <v>179</v>
      </c>
      <c r="C166" s="54">
        <f t="shared" si="4"/>
        <v>42984.421369999996</v>
      </c>
      <c r="D166" s="54">
        <f t="shared" si="5"/>
        <v>42984.463036666668</v>
      </c>
      <c r="E166" s="63">
        <v>42984</v>
      </c>
      <c r="F166" s="61">
        <v>0.42137000000000002</v>
      </c>
      <c r="G166" s="63">
        <v>42984</v>
      </c>
      <c r="H166" s="61">
        <v>0.46303666666666671</v>
      </c>
      <c r="I166" s="55">
        <v>30</v>
      </c>
      <c r="J166" s="56" t="s">
        <v>227</v>
      </c>
      <c r="K166" s="75" t="s">
        <v>228</v>
      </c>
      <c r="L166" s="70">
        <v>0</v>
      </c>
    </row>
    <row r="167" spans="1:12" ht="15" customHeight="1">
      <c r="A167" s="53" t="s">
        <v>220</v>
      </c>
      <c r="B167" s="53" t="s">
        <v>180</v>
      </c>
      <c r="C167" s="54">
        <f t="shared" si="4"/>
        <v>42744.758520000003</v>
      </c>
      <c r="D167" s="54">
        <f t="shared" si="5"/>
        <v>42744.800186666667</v>
      </c>
      <c r="E167" s="63">
        <v>42744</v>
      </c>
      <c r="F167" s="61">
        <v>0.75851999999999997</v>
      </c>
      <c r="G167" s="63">
        <v>42744</v>
      </c>
      <c r="H167" s="61">
        <v>0.8001866666666666</v>
      </c>
      <c r="I167" s="55">
        <v>30</v>
      </c>
      <c r="J167" s="56" t="s">
        <v>227</v>
      </c>
      <c r="K167" s="75" t="s">
        <v>230</v>
      </c>
      <c r="L167" s="70">
        <v>0</v>
      </c>
    </row>
    <row r="168" spans="1:12" ht="15" customHeight="1">
      <c r="A168" s="53" t="s">
        <v>220</v>
      </c>
      <c r="B168" s="53" t="s">
        <v>181</v>
      </c>
      <c r="C168" s="54">
        <f t="shared" si="4"/>
        <v>43031.734490000003</v>
      </c>
      <c r="D168" s="54">
        <f t="shared" si="5"/>
        <v>43031.776156666667</v>
      </c>
      <c r="E168" s="63">
        <v>43031</v>
      </c>
      <c r="F168" s="61">
        <v>0.73448999999999998</v>
      </c>
      <c r="G168" s="63">
        <v>43031</v>
      </c>
      <c r="H168" s="61">
        <v>0.77615666666666661</v>
      </c>
      <c r="I168" s="55">
        <v>30</v>
      </c>
      <c r="J168" s="56" t="s">
        <v>232</v>
      </c>
      <c r="K168" s="75" t="s">
        <v>228</v>
      </c>
      <c r="L168" s="70">
        <v>0</v>
      </c>
    </row>
    <row r="169" spans="1:12" ht="15" customHeight="1">
      <c r="A169" s="53" t="s">
        <v>220</v>
      </c>
      <c r="B169" s="53" t="s">
        <v>182</v>
      </c>
      <c r="C169" s="54">
        <f t="shared" si="4"/>
        <v>43040.472229999999</v>
      </c>
      <c r="D169" s="54">
        <f t="shared" si="5"/>
        <v>43040.513896666664</v>
      </c>
      <c r="E169" s="63">
        <v>43040</v>
      </c>
      <c r="F169" s="61">
        <v>0.47222999999999998</v>
      </c>
      <c r="G169" s="63">
        <v>43040</v>
      </c>
      <c r="H169" s="61">
        <v>0.51389666666666667</v>
      </c>
      <c r="I169" s="55">
        <v>30</v>
      </c>
      <c r="J169" s="56" t="s">
        <v>229</v>
      </c>
      <c r="K169" s="75" t="s">
        <v>230</v>
      </c>
      <c r="L169" s="70">
        <v>0</v>
      </c>
    </row>
    <row r="170" spans="1:12" ht="15" customHeight="1">
      <c r="A170" s="53" t="s">
        <v>220</v>
      </c>
      <c r="B170" s="53" t="s">
        <v>183</v>
      </c>
      <c r="C170" s="54">
        <f t="shared" si="4"/>
        <v>42984.512329999998</v>
      </c>
      <c r="D170" s="54">
        <f t="shared" si="5"/>
        <v>42984.553996666669</v>
      </c>
      <c r="E170" s="63">
        <v>42984</v>
      </c>
      <c r="F170" s="61">
        <v>0.51232999999999995</v>
      </c>
      <c r="G170" s="63">
        <v>42984</v>
      </c>
      <c r="H170" s="61">
        <v>0.55399666666666658</v>
      </c>
      <c r="I170" s="55">
        <v>30</v>
      </c>
      <c r="J170" s="56" t="s">
        <v>227</v>
      </c>
      <c r="K170" s="75" t="s">
        <v>231</v>
      </c>
      <c r="L170" s="70">
        <v>0</v>
      </c>
    </row>
    <row r="171" spans="1:12" ht="15" customHeight="1">
      <c r="A171" s="53" t="s">
        <v>220</v>
      </c>
      <c r="B171" s="53" t="s">
        <v>184</v>
      </c>
      <c r="C171" s="54">
        <f t="shared" si="4"/>
        <v>42927.46961</v>
      </c>
      <c r="D171" s="54">
        <f t="shared" si="5"/>
        <v>42927.511276666664</v>
      </c>
      <c r="E171" s="63">
        <v>42927</v>
      </c>
      <c r="F171" s="61">
        <v>0.46961000000000003</v>
      </c>
      <c r="G171" s="63">
        <v>42927</v>
      </c>
      <c r="H171" s="61">
        <v>0.51127666666666671</v>
      </c>
      <c r="I171" s="55">
        <v>30</v>
      </c>
      <c r="J171" s="56" t="s">
        <v>232</v>
      </c>
      <c r="K171" s="75" t="s">
        <v>231</v>
      </c>
      <c r="L171" s="70">
        <v>0</v>
      </c>
    </row>
    <row r="172" spans="1:12" ht="15" customHeight="1">
      <c r="A172" s="53" t="s">
        <v>220</v>
      </c>
      <c r="B172" s="53" t="s">
        <v>185</v>
      </c>
      <c r="C172" s="54">
        <f t="shared" si="4"/>
        <v>43029.711139999999</v>
      </c>
      <c r="D172" s="54">
        <f t="shared" si="5"/>
        <v>43029.752806666664</v>
      </c>
      <c r="E172" s="63">
        <v>43029</v>
      </c>
      <c r="F172" s="61">
        <v>0.71113999999999999</v>
      </c>
      <c r="G172" s="63">
        <v>43029</v>
      </c>
      <c r="H172" s="61">
        <v>0.75280666666666662</v>
      </c>
      <c r="I172" s="55">
        <v>30</v>
      </c>
      <c r="J172" s="56" t="s">
        <v>229</v>
      </c>
      <c r="K172" s="75" t="s">
        <v>231</v>
      </c>
      <c r="L172" s="70">
        <v>0</v>
      </c>
    </row>
    <row r="173" spans="1:12" ht="15" customHeight="1">
      <c r="A173" s="53" t="s">
        <v>220</v>
      </c>
      <c r="B173" s="53" t="s">
        <v>186</v>
      </c>
      <c r="C173" s="54">
        <f t="shared" si="4"/>
        <v>42780.762159999998</v>
      </c>
      <c r="D173" s="54">
        <f t="shared" si="5"/>
        <v>42780.80382666667</v>
      </c>
      <c r="E173" s="63">
        <v>42780</v>
      </c>
      <c r="F173" s="61">
        <v>0.76215999999999995</v>
      </c>
      <c r="G173" s="63">
        <v>42780</v>
      </c>
      <c r="H173" s="61">
        <v>0.80382666666666658</v>
      </c>
      <c r="I173" s="55">
        <v>30</v>
      </c>
      <c r="J173" s="56" t="s">
        <v>229</v>
      </c>
      <c r="K173" s="75" t="s">
        <v>228</v>
      </c>
      <c r="L173" s="70">
        <v>0</v>
      </c>
    </row>
    <row r="174" spans="1:12" ht="15" customHeight="1">
      <c r="A174" s="53" t="s">
        <v>220</v>
      </c>
      <c r="B174" s="53" t="s">
        <v>187</v>
      </c>
      <c r="C174" s="54">
        <f t="shared" si="4"/>
        <v>43005.689120000003</v>
      </c>
      <c r="D174" s="54">
        <f t="shared" si="5"/>
        <v>43005.730786666667</v>
      </c>
      <c r="E174" s="63">
        <v>43005</v>
      </c>
      <c r="F174" s="61">
        <v>0.68911999999999995</v>
      </c>
      <c r="G174" s="63">
        <v>43005</v>
      </c>
      <c r="H174" s="61">
        <v>0.73078666666666658</v>
      </c>
      <c r="I174" s="55">
        <v>30</v>
      </c>
      <c r="J174" s="56" t="s">
        <v>229</v>
      </c>
      <c r="K174" s="75" t="s">
        <v>231</v>
      </c>
      <c r="L174" s="70">
        <v>0</v>
      </c>
    </row>
    <row r="175" spans="1:12" ht="15" customHeight="1">
      <c r="A175" s="53" t="s">
        <v>220</v>
      </c>
      <c r="B175" s="53" t="s">
        <v>188</v>
      </c>
      <c r="C175" s="54">
        <f t="shared" si="4"/>
        <v>42885.369500000001</v>
      </c>
      <c r="D175" s="54">
        <f t="shared" si="5"/>
        <v>42885.411166666665</v>
      </c>
      <c r="E175" s="63">
        <v>42885</v>
      </c>
      <c r="F175" s="61">
        <v>0.3695</v>
      </c>
      <c r="G175" s="63">
        <v>42885</v>
      </c>
      <c r="H175" s="61">
        <v>0.41116666666666668</v>
      </c>
      <c r="I175" s="55">
        <v>30</v>
      </c>
      <c r="J175" s="56" t="s">
        <v>229</v>
      </c>
      <c r="K175" s="75" t="s">
        <v>231</v>
      </c>
      <c r="L175" s="70">
        <v>0</v>
      </c>
    </row>
    <row r="176" spans="1:12" ht="15" customHeight="1">
      <c r="A176" s="53" t="s">
        <v>220</v>
      </c>
      <c r="B176" s="53" t="s">
        <v>189</v>
      </c>
      <c r="C176" s="54">
        <f t="shared" si="4"/>
        <v>42891.502269999997</v>
      </c>
      <c r="D176" s="54">
        <f t="shared" si="5"/>
        <v>42891.543936666669</v>
      </c>
      <c r="E176" s="63">
        <v>42891</v>
      </c>
      <c r="F176" s="61">
        <v>0.50226999999999999</v>
      </c>
      <c r="G176" s="63">
        <v>42891</v>
      </c>
      <c r="H176" s="61">
        <v>0.54393666666666662</v>
      </c>
      <c r="I176" s="55">
        <v>30</v>
      </c>
      <c r="J176" s="56" t="s">
        <v>227</v>
      </c>
      <c r="K176" s="75" t="s">
        <v>230</v>
      </c>
      <c r="L176" s="70">
        <v>0</v>
      </c>
    </row>
    <row r="177" spans="1:12" ht="15" customHeight="1">
      <c r="A177" s="53" t="s">
        <v>220</v>
      </c>
      <c r="B177" s="53" t="s">
        <v>190</v>
      </c>
      <c r="C177" s="54">
        <f t="shared" si="4"/>
        <v>43080.394959999998</v>
      </c>
      <c r="D177" s="54">
        <f t="shared" si="5"/>
        <v>43080.436626666669</v>
      </c>
      <c r="E177" s="63">
        <v>43080</v>
      </c>
      <c r="F177" s="61">
        <v>0.39495999999999998</v>
      </c>
      <c r="G177" s="63">
        <v>43080</v>
      </c>
      <c r="H177" s="61">
        <v>0.43662666666666666</v>
      </c>
      <c r="I177" s="55">
        <v>30</v>
      </c>
      <c r="J177" s="56" t="s">
        <v>229</v>
      </c>
      <c r="K177" s="75" t="s">
        <v>228</v>
      </c>
      <c r="L177" s="70">
        <v>0</v>
      </c>
    </row>
    <row r="178" spans="1:12" ht="15" customHeight="1">
      <c r="A178" s="53" t="s">
        <v>220</v>
      </c>
      <c r="B178" s="53" t="s">
        <v>191</v>
      </c>
      <c r="C178" s="54">
        <f t="shared" si="4"/>
        <v>43013.576289999997</v>
      </c>
      <c r="D178" s="54">
        <f t="shared" si="5"/>
        <v>43013.617956666669</v>
      </c>
      <c r="E178" s="63">
        <v>43013</v>
      </c>
      <c r="F178" s="61">
        <v>0.57628999999999997</v>
      </c>
      <c r="G178" s="63">
        <v>43013</v>
      </c>
      <c r="H178" s="61">
        <v>0.6179566666666666</v>
      </c>
      <c r="I178" s="55">
        <v>30</v>
      </c>
      <c r="J178" s="56" t="s">
        <v>229</v>
      </c>
      <c r="K178" s="75" t="s">
        <v>228</v>
      </c>
      <c r="L178" s="70">
        <v>0</v>
      </c>
    </row>
    <row r="179" spans="1:12" ht="15" customHeight="1">
      <c r="A179" s="53" t="s">
        <v>220</v>
      </c>
      <c r="B179" s="53" t="s">
        <v>192</v>
      </c>
      <c r="C179" s="54">
        <f t="shared" si="4"/>
        <v>42775.398639999999</v>
      </c>
      <c r="D179" s="54">
        <f t="shared" si="5"/>
        <v>42775.440306666664</v>
      </c>
      <c r="E179" s="63">
        <v>42775</v>
      </c>
      <c r="F179" s="61">
        <v>0.39863999999999999</v>
      </c>
      <c r="G179" s="63">
        <v>42775</v>
      </c>
      <c r="H179" s="61">
        <v>0.44030666666666668</v>
      </c>
      <c r="I179" s="55">
        <v>30</v>
      </c>
      <c r="J179" s="56" t="s">
        <v>229</v>
      </c>
      <c r="K179" s="75" t="s">
        <v>228</v>
      </c>
      <c r="L179" s="70">
        <v>0</v>
      </c>
    </row>
    <row r="180" spans="1:12" ht="15" customHeight="1">
      <c r="A180" s="53" t="s">
        <v>220</v>
      </c>
      <c r="B180" s="53" t="s">
        <v>193</v>
      </c>
      <c r="C180" s="54">
        <f t="shared" si="4"/>
        <v>43041.621529999997</v>
      </c>
      <c r="D180" s="54">
        <f t="shared" si="5"/>
        <v>43041.663196666668</v>
      </c>
      <c r="E180" s="63">
        <v>43041</v>
      </c>
      <c r="F180" s="61">
        <v>0.62153000000000003</v>
      </c>
      <c r="G180" s="63">
        <v>43041</v>
      </c>
      <c r="H180" s="61">
        <v>0.66319666666666666</v>
      </c>
      <c r="I180" s="55">
        <v>30</v>
      </c>
      <c r="J180" s="56" t="s">
        <v>232</v>
      </c>
      <c r="K180" s="75" t="s">
        <v>228</v>
      </c>
      <c r="L180" s="70">
        <v>0</v>
      </c>
    </row>
    <row r="181" spans="1:12" ht="15" customHeight="1">
      <c r="A181" s="53" t="s">
        <v>220</v>
      </c>
      <c r="B181" s="53" t="s">
        <v>194</v>
      </c>
      <c r="C181" s="54">
        <f t="shared" si="4"/>
        <v>42813.674749999998</v>
      </c>
      <c r="D181" s="54">
        <f t="shared" si="5"/>
        <v>42813.71641666667</v>
      </c>
      <c r="E181" s="63">
        <v>42813</v>
      </c>
      <c r="F181" s="61">
        <v>0.67474999999999996</v>
      </c>
      <c r="G181" s="63">
        <v>42813</v>
      </c>
      <c r="H181" s="61">
        <v>0.71641666666666659</v>
      </c>
      <c r="I181" s="55">
        <v>30</v>
      </c>
      <c r="J181" s="56" t="s">
        <v>232</v>
      </c>
      <c r="K181" s="75" t="s">
        <v>231</v>
      </c>
      <c r="L181" s="70">
        <v>0</v>
      </c>
    </row>
    <row r="182" spans="1:12" ht="15" customHeight="1">
      <c r="A182" s="53" t="s">
        <v>220</v>
      </c>
      <c r="B182" s="53" t="s">
        <v>195</v>
      </c>
      <c r="C182" s="54">
        <f t="shared" si="4"/>
        <v>43070.752249999998</v>
      </c>
      <c r="D182" s="54">
        <f t="shared" si="5"/>
        <v>43070.793916666669</v>
      </c>
      <c r="E182" s="63">
        <v>43070</v>
      </c>
      <c r="F182" s="61">
        <v>0.75224999999999997</v>
      </c>
      <c r="G182" s="63">
        <v>43070</v>
      </c>
      <c r="H182" s="61">
        <v>0.7939166666666666</v>
      </c>
      <c r="I182" s="55">
        <v>30</v>
      </c>
      <c r="J182" s="56" t="s">
        <v>232</v>
      </c>
      <c r="K182" s="75" t="s">
        <v>228</v>
      </c>
      <c r="L182" s="70">
        <v>0</v>
      </c>
    </row>
    <row r="183" spans="1:12" ht="15" customHeight="1">
      <c r="A183" s="53" t="s">
        <v>220</v>
      </c>
      <c r="B183" s="53" t="s">
        <v>196</v>
      </c>
      <c r="C183" s="54">
        <f t="shared" si="4"/>
        <v>42827.513209999997</v>
      </c>
      <c r="D183" s="54">
        <f t="shared" si="5"/>
        <v>42827.554876666669</v>
      </c>
      <c r="E183" s="63">
        <v>42827</v>
      </c>
      <c r="F183" s="61">
        <v>0.51321000000000006</v>
      </c>
      <c r="G183" s="63">
        <v>42827</v>
      </c>
      <c r="H183" s="61">
        <v>0.55487666666666668</v>
      </c>
      <c r="I183" s="55">
        <v>30</v>
      </c>
      <c r="J183" s="56" t="s">
        <v>229</v>
      </c>
      <c r="K183" s="75" t="s">
        <v>230</v>
      </c>
      <c r="L183" s="70">
        <v>0</v>
      </c>
    </row>
    <row r="184" spans="1:12" ht="15" customHeight="1">
      <c r="A184" s="53" t="s">
        <v>220</v>
      </c>
      <c r="B184" s="53" t="s">
        <v>197</v>
      </c>
      <c r="C184" s="54">
        <f t="shared" si="4"/>
        <v>42737.760040000001</v>
      </c>
      <c r="D184" s="54">
        <f t="shared" si="5"/>
        <v>42737.801706666665</v>
      </c>
      <c r="E184" s="63">
        <v>42737</v>
      </c>
      <c r="F184" s="61">
        <v>0.76004000000000005</v>
      </c>
      <c r="G184" s="63">
        <v>42737</v>
      </c>
      <c r="H184" s="61">
        <v>0.80170666666666668</v>
      </c>
      <c r="I184" s="55">
        <v>30</v>
      </c>
      <c r="J184" s="56" t="s">
        <v>229</v>
      </c>
      <c r="K184" s="75" t="s">
        <v>230</v>
      </c>
      <c r="L184" s="70">
        <v>0</v>
      </c>
    </row>
    <row r="185" spans="1:12" ht="15" customHeight="1">
      <c r="A185" s="53" t="s">
        <v>220</v>
      </c>
      <c r="B185" s="53" t="s">
        <v>198</v>
      </c>
      <c r="C185" s="54">
        <f t="shared" si="4"/>
        <v>43097.532550000004</v>
      </c>
      <c r="D185" s="54">
        <f t="shared" si="5"/>
        <v>43097.574216666668</v>
      </c>
      <c r="E185" s="63">
        <v>43097</v>
      </c>
      <c r="F185" s="61">
        <v>0.53254999999999997</v>
      </c>
      <c r="G185" s="63">
        <v>43097</v>
      </c>
      <c r="H185" s="61">
        <v>0.5742166666666666</v>
      </c>
      <c r="I185" s="55">
        <v>30</v>
      </c>
      <c r="J185" s="56" t="s">
        <v>227</v>
      </c>
      <c r="K185" s="75" t="s">
        <v>231</v>
      </c>
      <c r="L185" s="70">
        <v>0</v>
      </c>
    </row>
    <row r="186" spans="1:12" ht="15" customHeight="1">
      <c r="A186" s="53" t="s">
        <v>220</v>
      </c>
      <c r="B186" s="53" t="s">
        <v>199</v>
      </c>
      <c r="C186" s="54">
        <f t="shared" si="4"/>
        <v>43017.460740000002</v>
      </c>
      <c r="D186" s="54">
        <f t="shared" si="5"/>
        <v>43017.502406666667</v>
      </c>
      <c r="E186" s="63">
        <v>43017</v>
      </c>
      <c r="F186" s="61">
        <v>0.46073999999999998</v>
      </c>
      <c r="G186" s="63">
        <v>43017</v>
      </c>
      <c r="H186" s="61">
        <v>0.50240666666666667</v>
      </c>
      <c r="I186" s="55">
        <v>30</v>
      </c>
      <c r="J186" s="56" t="s">
        <v>227</v>
      </c>
      <c r="K186" s="75" t="s">
        <v>228</v>
      </c>
      <c r="L186" s="70">
        <v>0</v>
      </c>
    </row>
    <row r="187" spans="1:12" ht="15" customHeight="1">
      <c r="A187" s="53" t="s">
        <v>220</v>
      </c>
      <c r="B187" s="53" t="s">
        <v>200</v>
      </c>
      <c r="C187" s="54">
        <f t="shared" si="4"/>
        <v>43026.766190000002</v>
      </c>
      <c r="D187" s="54">
        <f t="shared" si="5"/>
        <v>43026.807856666666</v>
      </c>
      <c r="E187" s="63">
        <v>43026</v>
      </c>
      <c r="F187" s="61">
        <v>0.76619000000000004</v>
      </c>
      <c r="G187" s="63">
        <v>43026</v>
      </c>
      <c r="H187" s="61">
        <v>0.80785666666666667</v>
      </c>
      <c r="I187" s="55">
        <v>30</v>
      </c>
      <c r="J187" s="56" t="s">
        <v>227</v>
      </c>
      <c r="K187" s="75" t="s">
        <v>228</v>
      </c>
      <c r="L187" s="70">
        <v>0</v>
      </c>
    </row>
    <row r="188" spans="1:12" ht="15" customHeight="1">
      <c r="A188" s="53" t="s">
        <v>220</v>
      </c>
      <c r="B188" s="53" t="s">
        <v>201</v>
      </c>
      <c r="C188" s="54">
        <f t="shared" si="4"/>
        <v>43046.481099999997</v>
      </c>
      <c r="D188" s="54">
        <f t="shared" si="5"/>
        <v>43046.522766666669</v>
      </c>
      <c r="E188" s="63">
        <v>43046</v>
      </c>
      <c r="F188" s="61">
        <v>0.48110000000000003</v>
      </c>
      <c r="G188" s="63">
        <v>43046</v>
      </c>
      <c r="H188" s="61">
        <v>0.52276666666666671</v>
      </c>
      <c r="I188" s="55">
        <v>30</v>
      </c>
      <c r="J188" s="56" t="s">
        <v>227</v>
      </c>
      <c r="K188" s="75" t="s">
        <v>230</v>
      </c>
      <c r="L188" s="70">
        <v>0</v>
      </c>
    </row>
    <row r="189" spans="1:12" ht="15" customHeight="1">
      <c r="A189" s="53" t="s">
        <v>220</v>
      </c>
      <c r="B189" s="53" t="s">
        <v>202</v>
      </c>
      <c r="C189" s="54">
        <f t="shared" si="4"/>
        <v>42836.390299999999</v>
      </c>
      <c r="D189" s="54">
        <f t="shared" si="5"/>
        <v>42836.431966666663</v>
      </c>
      <c r="E189" s="63">
        <v>42836</v>
      </c>
      <c r="F189" s="61">
        <v>0.39029999999999998</v>
      </c>
      <c r="G189" s="63">
        <v>42836</v>
      </c>
      <c r="H189" s="61">
        <v>0.43196666666666667</v>
      </c>
      <c r="I189" s="55">
        <v>30</v>
      </c>
      <c r="J189" s="56" t="s">
        <v>232</v>
      </c>
      <c r="K189" s="75" t="s">
        <v>231</v>
      </c>
      <c r="L189" s="70">
        <v>0</v>
      </c>
    </row>
    <row r="190" spans="1:12" ht="15" customHeight="1">
      <c r="A190" s="53" t="s">
        <v>220</v>
      </c>
      <c r="B190" s="53" t="s">
        <v>203</v>
      </c>
      <c r="C190" s="54">
        <f t="shared" si="4"/>
        <v>42826.583720000002</v>
      </c>
      <c r="D190" s="54">
        <f t="shared" si="5"/>
        <v>42826.625386666667</v>
      </c>
      <c r="E190" s="63">
        <v>42826</v>
      </c>
      <c r="F190" s="61">
        <v>0.58372000000000002</v>
      </c>
      <c r="G190" s="63">
        <v>42826</v>
      </c>
      <c r="H190" s="61">
        <v>0.62538666666666665</v>
      </c>
      <c r="I190" s="55">
        <v>30</v>
      </c>
      <c r="J190" s="56" t="s">
        <v>229</v>
      </c>
      <c r="K190" s="75" t="s">
        <v>231</v>
      </c>
      <c r="L190" s="70">
        <v>0</v>
      </c>
    </row>
    <row r="191" spans="1:12" ht="15" customHeight="1">
      <c r="A191" s="53" t="s">
        <v>220</v>
      </c>
      <c r="B191" s="53" t="s">
        <v>204</v>
      </c>
      <c r="C191" s="54">
        <f t="shared" si="4"/>
        <v>42755.759180000001</v>
      </c>
      <c r="D191" s="54">
        <f t="shared" si="5"/>
        <v>42755.800846666665</v>
      </c>
      <c r="E191" s="63">
        <v>42755</v>
      </c>
      <c r="F191" s="61">
        <v>0.75917999999999997</v>
      </c>
      <c r="G191" s="63">
        <v>42755</v>
      </c>
      <c r="H191" s="61">
        <v>0.8008466666666666</v>
      </c>
      <c r="I191" s="55">
        <v>30</v>
      </c>
      <c r="J191" s="56" t="s">
        <v>229</v>
      </c>
      <c r="K191" s="75" t="s">
        <v>231</v>
      </c>
      <c r="L191" s="70">
        <v>0</v>
      </c>
    </row>
    <row r="192" spans="1:12" ht="15" customHeight="1">
      <c r="A192" s="53" t="s">
        <v>220</v>
      </c>
      <c r="B192" s="53" t="s">
        <v>205</v>
      </c>
      <c r="C192" s="54">
        <f t="shared" si="4"/>
        <v>42744.612659999999</v>
      </c>
      <c r="D192" s="54">
        <f t="shared" si="5"/>
        <v>42744.654326666663</v>
      </c>
      <c r="E192" s="63">
        <v>42744</v>
      </c>
      <c r="F192" s="61">
        <v>0.61265999999999998</v>
      </c>
      <c r="G192" s="63">
        <v>42744</v>
      </c>
      <c r="H192" s="61">
        <v>0.65432666666666661</v>
      </c>
      <c r="I192" s="55">
        <v>30</v>
      </c>
      <c r="J192" s="56" t="s">
        <v>229</v>
      </c>
      <c r="K192" s="75" t="s">
        <v>228</v>
      </c>
      <c r="L192" s="70">
        <v>0</v>
      </c>
    </row>
    <row r="193" spans="1:12" ht="15" customHeight="1">
      <c r="A193" s="53" t="s">
        <v>220</v>
      </c>
      <c r="B193" s="53" t="s">
        <v>206</v>
      </c>
      <c r="C193" s="54">
        <f t="shared" si="4"/>
        <v>42964.444199999998</v>
      </c>
      <c r="D193" s="54">
        <f t="shared" si="5"/>
        <v>42964.48586666667</v>
      </c>
      <c r="E193" s="63">
        <v>42964</v>
      </c>
      <c r="F193" s="61">
        <v>0.44419999999999998</v>
      </c>
      <c r="G193" s="63">
        <v>42964</v>
      </c>
      <c r="H193" s="61">
        <v>0.48586666666666667</v>
      </c>
      <c r="I193" s="55">
        <v>30</v>
      </c>
      <c r="J193" s="56" t="s">
        <v>227</v>
      </c>
      <c r="K193" s="75" t="s">
        <v>228</v>
      </c>
      <c r="L193" s="70">
        <v>0</v>
      </c>
    </row>
    <row r="194" spans="1:12" ht="15" customHeight="1">
      <c r="A194" s="53" t="s">
        <v>220</v>
      </c>
      <c r="B194" s="53" t="s">
        <v>207</v>
      </c>
      <c r="C194" s="54">
        <f t="shared" si="4"/>
        <v>42739.323100000001</v>
      </c>
      <c r="D194" s="54">
        <f t="shared" si="5"/>
        <v>42739.364766666666</v>
      </c>
      <c r="E194" s="63">
        <v>42739</v>
      </c>
      <c r="F194" s="61">
        <v>0.3231</v>
      </c>
      <c r="G194" s="63">
        <v>42739</v>
      </c>
      <c r="H194" s="61">
        <v>0.36476666666666668</v>
      </c>
      <c r="I194" s="55">
        <v>30</v>
      </c>
      <c r="J194" s="56" t="s">
        <v>227</v>
      </c>
      <c r="K194" s="75" t="s">
        <v>228</v>
      </c>
      <c r="L194" s="70">
        <v>0</v>
      </c>
    </row>
    <row r="195" spans="1:12" ht="15" customHeight="1">
      <c r="A195" s="53" t="s">
        <v>220</v>
      </c>
      <c r="B195" s="53" t="s">
        <v>208</v>
      </c>
      <c r="C195" s="54">
        <f t="shared" ref="C195:C258" si="6">E195+F195</f>
        <v>43089.465810000002</v>
      </c>
      <c r="D195" s="54">
        <f t="shared" ref="D195:D258" si="7">G195+H195</f>
        <v>43089.507476666666</v>
      </c>
      <c r="E195" s="63">
        <v>43089</v>
      </c>
      <c r="F195" s="61">
        <v>0.46581</v>
      </c>
      <c r="G195" s="63">
        <v>43089</v>
      </c>
      <c r="H195" s="61">
        <v>0.50747666666666669</v>
      </c>
      <c r="I195" s="55">
        <v>30</v>
      </c>
      <c r="J195" s="56" t="s">
        <v>227</v>
      </c>
      <c r="K195" s="75" t="s">
        <v>231</v>
      </c>
      <c r="L195" s="70">
        <v>0</v>
      </c>
    </row>
    <row r="196" spans="1:12" ht="15" customHeight="1">
      <c r="A196" s="53" t="s">
        <v>220</v>
      </c>
      <c r="B196" s="53" t="s">
        <v>209</v>
      </c>
      <c r="C196" s="54">
        <f t="shared" si="6"/>
        <v>43005.524100000002</v>
      </c>
      <c r="D196" s="54">
        <f t="shared" si="7"/>
        <v>43005.565766666667</v>
      </c>
      <c r="E196" s="63">
        <v>43005</v>
      </c>
      <c r="F196" s="61">
        <v>0.52410000000000001</v>
      </c>
      <c r="G196" s="63">
        <v>43005</v>
      </c>
      <c r="H196" s="61">
        <v>0.56576666666666664</v>
      </c>
      <c r="I196" s="55">
        <v>30</v>
      </c>
      <c r="J196" s="56" t="s">
        <v>232</v>
      </c>
      <c r="K196" s="75" t="s">
        <v>231</v>
      </c>
      <c r="L196" s="70">
        <v>0</v>
      </c>
    </row>
    <row r="197" spans="1:12" ht="15" customHeight="1">
      <c r="A197" s="53" t="s">
        <v>220</v>
      </c>
      <c r="B197" s="53" t="s">
        <v>210</v>
      </c>
      <c r="C197" s="54">
        <f t="shared" si="6"/>
        <v>42761.572289999996</v>
      </c>
      <c r="D197" s="54">
        <f t="shared" si="7"/>
        <v>42761.613956666668</v>
      </c>
      <c r="E197" s="63">
        <v>42761</v>
      </c>
      <c r="F197" s="61">
        <v>0.57228999999999997</v>
      </c>
      <c r="G197" s="63">
        <v>42761</v>
      </c>
      <c r="H197" s="61">
        <v>0.6139566666666666</v>
      </c>
      <c r="I197" s="55">
        <v>30</v>
      </c>
      <c r="J197" s="56" t="s">
        <v>229</v>
      </c>
      <c r="K197" s="75" t="s">
        <v>228</v>
      </c>
      <c r="L197" s="70">
        <v>0</v>
      </c>
    </row>
    <row r="198" spans="1:12" ht="15" customHeight="1">
      <c r="A198" s="53" t="s">
        <v>220</v>
      </c>
      <c r="B198" s="53" t="s">
        <v>211</v>
      </c>
      <c r="C198" s="54">
        <f t="shared" si="6"/>
        <v>42740.52577</v>
      </c>
      <c r="D198" s="54">
        <f t="shared" si="7"/>
        <v>42740.567436666664</v>
      </c>
      <c r="E198" s="63">
        <v>42740</v>
      </c>
      <c r="F198" s="61">
        <v>0.52576999999999996</v>
      </c>
      <c r="G198" s="63">
        <v>42740</v>
      </c>
      <c r="H198" s="61">
        <v>0.56743666666666659</v>
      </c>
      <c r="I198" s="55">
        <v>30</v>
      </c>
      <c r="J198" s="56" t="s">
        <v>229</v>
      </c>
      <c r="K198" s="75" t="s">
        <v>230</v>
      </c>
      <c r="L198" s="70">
        <v>0</v>
      </c>
    </row>
    <row r="199" spans="1:12" ht="15" customHeight="1">
      <c r="A199" s="53" t="s">
        <v>220</v>
      </c>
      <c r="B199" s="53" t="s">
        <v>212</v>
      </c>
      <c r="C199" s="54">
        <f t="shared" si="6"/>
        <v>42766.645129999997</v>
      </c>
      <c r="D199" s="54">
        <f t="shared" si="7"/>
        <v>42766.686796666669</v>
      </c>
      <c r="E199" s="63">
        <v>42766</v>
      </c>
      <c r="F199" s="61">
        <v>0.64512999999999998</v>
      </c>
      <c r="G199" s="63">
        <v>42766</v>
      </c>
      <c r="H199" s="61">
        <v>0.68679666666666661</v>
      </c>
      <c r="I199" s="55">
        <v>30</v>
      </c>
      <c r="J199" s="56" t="s">
        <v>232</v>
      </c>
      <c r="K199" s="75" t="s">
        <v>231</v>
      </c>
      <c r="L199" s="70">
        <v>0</v>
      </c>
    </row>
    <row r="200" spans="1:12" ht="15" customHeight="1">
      <c r="A200" s="53" t="s">
        <v>220</v>
      </c>
      <c r="B200" s="53" t="s">
        <v>213</v>
      </c>
      <c r="C200" s="54">
        <f t="shared" si="6"/>
        <v>42796.644269999997</v>
      </c>
      <c r="D200" s="54">
        <f t="shared" si="7"/>
        <v>42796.685936666669</v>
      </c>
      <c r="E200" s="63">
        <v>42796</v>
      </c>
      <c r="F200" s="61">
        <v>0.64427000000000001</v>
      </c>
      <c r="G200" s="63">
        <v>42796</v>
      </c>
      <c r="H200" s="61">
        <v>0.68593666666666664</v>
      </c>
      <c r="I200" s="55">
        <v>30</v>
      </c>
      <c r="J200" s="56" t="s">
        <v>232</v>
      </c>
      <c r="K200" s="75" t="s">
        <v>230</v>
      </c>
      <c r="L200" s="70">
        <v>0</v>
      </c>
    </row>
    <row r="201" spans="1:12" ht="15" customHeight="1">
      <c r="A201" s="53" t="s">
        <v>220</v>
      </c>
      <c r="B201" s="53" t="s">
        <v>214</v>
      </c>
      <c r="C201" s="54">
        <f t="shared" si="6"/>
        <v>42942.6512</v>
      </c>
      <c r="D201" s="54">
        <f t="shared" si="7"/>
        <v>42942.692866666664</v>
      </c>
      <c r="E201" s="63">
        <v>42942</v>
      </c>
      <c r="F201" s="61">
        <v>0.6512</v>
      </c>
      <c r="G201" s="63">
        <v>42942</v>
      </c>
      <c r="H201" s="61">
        <v>0.69286666666666663</v>
      </c>
      <c r="I201" s="55">
        <v>30</v>
      </c>
      <c r="J201" s="56" t="s">
        <v>229</v>
      </c>
      <c r="K201" s="75" t="s">
        <v>230</v>
      </c>
      <c r="L201" s="70">
        <v>0</v>
      </c>
    </row>
    <row r="202" spans="1:12" ht="15" customHeight="1">
      <c r="A202" s="53" t="s">
        <v>220</v>
      </c>
      <c r="B202" s="53" t="s">
        <v>15</v>
      </c>
      <c r="C202" s="54">
        <f t="shared" si="6"/>
        <v>43000.500520000001</v>
      </c>
      <c r="D202" s="54">
        <f t="shared" si="7"/>
        <v>43000.542186666666</v>
      </c>
      <c r="E202" s="63">
        <v>43000</v>
      </c>
      <c r="F202" s="61">
        <v>0.50051999999999996</v>
      </c>
      <c r="G202" s="63">
        <v>43000</v>
      </c>
      <c r="H202" s="61">
        <v>0.54218666666666659</v>
      </c>
      <c r="I202" s="55">
        <v>30</v>
      </c>
      <c r="J202" s="56" t="s">
        <v>227</v>
      </c>
      <c r="K202" s="75" t="s">
        <v>230</v>
      </c>
      <c r="L202" s="70">
        <v>0</v>
      </c>
    </row>
    <row r="203" spans="1:12" ht="15" customHeight="1">
      <c r="A203" s="53" t="s">
        <v>220</v>
      </c>
      <c r="B203" s="53" t="s">
        <v>16</v>
      </c>
      <c r="C203" s="54">
        <f t="shared" si="6"/>
        <v>43075.560299999997</v>
      </c>
      <c r="D203" s="54">
        <f t="shared" si="7"/>
        <v>43075.601966666669</v>
      </c>
      <c r="E203" s="63">
        <v>43075</v>
      </c>
      <c r="F203" s="61">
        <v>0.56030000000000002</v>
      </c>
      <c r="G203" s="63">
        <v>43075</v>
      </c>
      <c r="H203" s="61">
        <v>0.60196666666666665</v>
      </c>
      <c r="I203" s="55">
        <v>30</v>
      </c>
      <c r="J203" s="56" t="s">
        <v>232</v>
      </c>
      <c r="K203" s="75" t="s">
        <v>230</v>
      </c>
      <c r="L203" s="70">
        <v>0</v>
      </c>
    </row>
    <row r="204" spans="1:12" ht="15" customHeight="1">
      <c r="A204" s="53" t="s">
        <v>220</v>
      </c>
      <c r="B204" s="53" t="s">
        <v>17</v>
      </c>
      <c r="C204" s="54">
        <f t="shared" si="6"/>
        <v>42826.712200000002</v>
      </c>
      <c r="D204" s="54">
        <f t="shared" si="7"/>
        <v>42826.753866666666</v>
      </c>
      <c r="E204" s="63">
        <v>42826</v>
      </c>
      <c r="F204" s="61">
        <v>0.71220000000000006</v>
      </c>
      <c r="G204" s="63">
        <v>42826</v>
      </c>
      <c r="H204" s="61">
        <v>0.75386666666666668</v>
      </c>
      <c r="I204" s="55">
        <v>30</v>
      </c>
      <c r="J204" s="56" t="s">
        <v>232</v>
      </c>
      <c r="K204" s="75" t="s">
        <v>228</v>
      </c>
      <c r="L204" s="70">
        <v>0</v>
      </c>
    </row>
    <row r="205" spans="1:12" ht="15" customHeight="1">
      <c r="A205" s="53" t="s">
        <v>220</v>
      </c>
      <c r="B205" s="53" t="s">
        <v>18</v>
      </c>
      <c r="C205" s="54">
        <f t="shared" si="6"/>
        <v>43000.569389999997</v>
      </c>
      <c r="D205" s="54">
        <f t="shared" si="7"/>
        <v>43000.611056666668</v>
      </c>
      <c r="E205" s="63">
        <v>43000</v>
      </c>
      <c r="F205" s="61">
        <v>0.56938999999999995</v>
      </c>
      <c r="G205" s="63">
        <v>43000</v>
      </c>
      <c r="H205" s="61">
        <v>0.61105666666666658</v>
      </c>
      <c r="I205" s="55">
        <v>30</v>
      </c>
      <c r="J205" s="56" t="s">
        <v>229</v>
      </c>
      <c r="K205" s="75" t="s">
        <v>231</v>
      </c>
      <c r="L205" s="70">
        <v>0</v>
      </c>
    </row>
    <row r="206" spans="1:12" ht="15" customHeight="1">
      <c r="A206" s="53" t="s">
        <v>220</v>
      </c>
      <c r="B206" s="53" t="s">
        <v>19</v>
      </c>
      <c r="C206" s="54">
        <f t="shared" si="6"/>
        <v>42898.589290000004</v>
      </c>
      <c r="D206" s="54">
        <f t="shared" si="7"/>
        <v>42898.630956666668</v>
      </c>
      <c r="E206" s="63">
        <v>42898</v>
      </c>
      <c r="F206" s="61">
        <v>0.58928999999999998</v>
      </c>
      <c r="G206" s="63">
        <v>42898</v>
      </c>
      <c r="H206" s="61">
        <v>0.63095666666666661</v>
      </c>
      <c r="I206" s="55">
        <v>30</v>
      </c>
      <c r="J206" s="56" t="s">
        <v>227</v>
      </c>
      <c r="K206" s="75" t="s">
        <v>228</v>
      </c>
      <c r="L206" s="70">
        <v>0</v>
      </c>
    </row>
    <row r="207" spans="1:12" ht="15" customHeight="1">
      <c r="A207" s="53" t="s">
        <v>220</v>
      </c>
      <c r="B207" s="53" t="s">
        <v>20</v>
      </c>
      <c r="C207" s="54">
        <f t="shared" si="6"/>
        <v>42949.457750000001</v>
      </c>
      <c r="D207" s="54">
        <f t="shared" si="7"/>
        <v>42949.499416666666</v>
      </c>
      <c r="E207" s="63">
        <v>42949</v>
      </c>
      <c r="F207" s="61">
        <v>0.45774999999999999</v>
      </c>
      <c r="G207" s="63">
        <v>42949</v>
      </c>
      <c r="H207" s="61">
        <v>0.49941666666666668</v>
      </c>
      <c r="I207" s="55">
        <v>30</v>
      </c>
      <c r="J207" s="56" t="s">
        <v>229</v>
      </c>
      <c r="K207" s="75" t="s">
        <v>230</v>
      </c>
      <c r="L207" s="70">
        <v>0</v>
      </c>
    </row>
    <row r="208" spans="1:12" ht="15" customHeight="1">
      <c r="A208" s="53" t="s">
        <v>220</v>
      </c>
      <c r="B208" s="53" t="s">
        <v>21</v>
      </c>
      <c r="C208" s="54">
        <f t="shared" si="6"/>
        <v>42946.687619999997</v>
      </c>
      <c r="D208" s="54">
        <f t="shared" si="7"/>
        <v>42946.729286666668</v>
      </c>
      <c r="E208" s="63">
        <v>42946</v>
      </c>
      <c r="F208" s="61">
        <v>0.68762000000000001</v>
      </c>
      <c r="G208" s="63">
        <v>42946</v>
      </c>
      <c r="H208" s="61">
        <v>0.72928666666666664</v>
      </c>
      <c r="I208" s="55">
        <v>30</v>
      </c>
      <c r="J208" s="56" t="s">
        <v>229</v>
      </c>
      <c r="K208" s="75" t="s">
        <v>230</v>
      </c>
      <c r="L208" s="70">
        <v>0</v>
      </c>
    </row>
    <row r="209" spans="1:12" ht="15" customHeight="1">
      <c r="A209" s="53" t="s">
        <v>220</v>
      </c>
      <c r="B209" s="53" t="s">
        <v>22</v>
      </c>
      <c r="C209" s="54">
        <f t="shared" si="6"/>
        <v>42910.426119999996</v>
      </c>
      <c r="D209" s="54">
        <f t="shared" si="7"/>
        <v>42910.467786666668</v>
      </c>
      <c r="E209" s="63">
        <v>42910</v>
      </c>
      <c r="F209" s="61">
        <v>0.42612</v>
      </c>
      <c r="G209" s="63">
        <v>42910</v>
      </c>
      <c r="H209" s="61">
        <v>0.46778666666666668</v>
      </c>
      <c r="I209" s="55">
        <v>30</v>
      </c>
      <c r="J209" s="56" t="s">
        <v>227</v>
      </c>
      <c r="K209" s="75" t="s">
        <v>231</v>
      </c>
      <c r="L209" s="70">
        <v>0</v>
      </c>
    </row>
    <row r="210" spans="1:12" ht="15" customHeight="1">
      <c r="A210" s="53" t="s">
        <v>220</v>
      </c>
      <c r="B210" s="53" t="s">
        <v>23</v>
      </c>
      <c r="C210" s="54">
        <f t="shared" si="6"/>
        <v>43013.425510000001</v>
      </c>
      <c r="D210" s="54">
        <f t="shared" si="7"/>
        <v>43013.467176666665</v>
      </c>
      <c r="E210" s="63">
        <v>43013</v>
      </c>
      <c r="F210" s="61">
        <v>0.42551</v>
      </c>
      <c r="G210" s="63">
        <v>43013</v>
      </c>
      <c r="H210" s="61">
        <v>0.46717666666666668</v>
      </c>
      <c r="I210" s="55">
        <v>30</v>
      </c>
      <c r="J210" s="56" t="s">
        <v>229</v>
      </c>
      <c r="K210" s="75" t="s">
        <v>231</v>
      </c>
      <c r="L210" s="70">
        <v>0</v>
      </c>
    </row>
    <row r="211" spans="1:12" ht="15" customHeight="1">
      <c r="A211" s="53" t="s">
        <v>220</v>
      </c>
      <c r="B211" s="53" t="s">
        <v>24</v>
      </c>
      <c r="C211" s="54">
        <f t="shared" si="6"/>
        <v>42970.636980000003</v>
      </c>
      <c r="D211" s="54">
        <f t="shared" si="7"/>
        <v>42970.678646666667</v>
      </c>
      <c r="E211" s="63">
        <v>42970</v>
      </c>
      <c r="F211" s="61">
        <v>0.63697999999999999</v>
      </c>
      <c r="G211" s="63">
        <v>42970</v>
      </c>
      <c r="H211" s="61">
        <v>0.67864666666666662</v>
      </c>
      <c r="I211" s="55">
        <v>30</v>
      </c>
      <c r="J211" s="56" t="s">
        <v>229</v>
      </c>
      <c r="K211" s="75" t="s">
        <v>231</v>
      </c>
      <c r="L211" s="70">
        <v>0</v>
      </c>
    </row>
    <row r="212" spans="1:12" ht="15" customHeight="1">
      <c r="A212" s="53" t="s">
        <v>220</v>
      </c>
      <c r="B212" s="53" t="s">
        <v>25</v>
      </c>
      <c r="C212" s="54">
        <f t="shared" si="6"/>
        <v>43084.498249999997</v>
      </c>
      <c r="D212" s="54">
        <f t="shared" si="7"/>
        <v>43084.539916666668</v>
      </c>
      <c r="E212" s="63">
        <v>43084</v>
      </c>
      <c r="F212" s="61">
        <v>0.49825000000000003</v>
      </c>
      <c r="G212" s="63">
        <v>43084</v>
      </c>
      <c r="H212" s="61">
        <v>0.53991666666666671</v>
      </c>
      <c r="I212" s="55">
        <v>30</v>
      </c>
      <c r="J212" s="56" t="s">
        <v>227</v>
      </c>
      <c r="K212" s="75" t="s">
        <v>230</v>
      </c>
      <c r="L212" s="70">
        <v>0</v>
      </c>
    </row>
    <row r="213" spans="1:12" ht="15" customHeight="1">
      <c r="A213" s="53" t="s">
        <v>220</v>
      </c>
      <c r="B213" s="53" t="s">
        <v>26</v>
      </c>
      <c r="C213" s="54">
        <f t="shared" si="6"/>
        <v>43049.734450000004</v>
      </c>
      <c r="D213" s="54">
        <f t="shared" si="7"/>
        <v>43049.776116666668</v>
      </c>
      <c r="E213" s="63">
        <v>43049</v>
      </c>
      <c r="F213" s="61">
        <v>0.73445000000000005</v>
      </c>
      <c r="G213" s="63">
        <v>43049</v>
      </c>
      <c r="H213" s="61">
        <v>0.77611666666666668</v>
      </c>
      <c r="I213" s="55">
        <v>30</v>
      </c>
      <c r="J213" s="56" t="s">
        <v>227</v>
      </c>
      <c r="K213" s="75" t="s">
        <v>231</v>
      </c>
      <c r="L213" s="70">
        <v>0</v>
      </c>
    </row>
    <row r="214" spans="1:12" ht="15" customHeight="1">
      <c r="A214" s="53" t="s">
        <v>220</v>
      </c>
      <c r="B214" s="53" t="s">
        <v>27</v>
      </c>
      <c r="C214" s="54">
        <f t="shared" si="6"/>
        <v>42833.497649999998</v>
      </c>
      <c r="D214" s="54">
        <f t="shared" si="7"/>
        <v>42833.539316666669</v>
      </c>
      <c r="E214" s="63">
        <v>42833</v>
      </c>
      <c r="F214" s="61">
        <v>0.49764999999999998</v>
      </c>
      <c r="G214" s="63">
        <v>42833</v>
      </c>
      <c r="H214" s="61">
        <v>0.53931666666666667</v>
      </c>
      <c r="I214" s="55">
        <v>30</v>
      </c>
      <c r="J214" s="56" t="s">
        <v>232</v>
      </c>
      <c r="K214" s="75" t="s">
        <v>228</v>
      </c>
      <c r="L214" s="70">
        <v>0</v>
      </c>
    </row>
    <row r="215" spans="1:12" ht="15" customHeight="1">
      <c r="A215" s="53" t="s">
        <v>220</v>
      </c>
      <c r="B215" s="53" t="s">
        <v>28</v>
      </c>
      <c r="C215" s="54">
        <f t="shared" si="6"/>
        <v>42972.595399999998</v>
      </c>
      <c r="D215" s="54">
        <f t="shared" si="7"/>
        <v>42972.63706666667</v>
      </c>
      <c r="E215" s="63">
        <v>42972</v>
      </c>
      <c r="F215" s="61">
        <v>0.59540000000000004</v>
      </c>
      <c r="G215" s="63">
        <v>42972</v>
      </c>
      <c r="H215" s="61">
        <v>0.63706666666666667</v>
      </c>
      <c r="I215" s="55">
        <v>30</v>
      </c>
      <c r="J215" s="56" t="s">
        <v>232</v>
      </c>
      <c r="K215" s="75" t="s">
        <v>230</v>
      </c>
      <c r="L215" s="70">
        <v>0</v>
      </c>
    </row>
    <row r="216" spans="1:12" ht="15" customHeight="1">
      <c r="A216" s="53" t="s">
        <v>220</v>
      </c>
      <c r="B216" s="53" t="s">
        <v>29</v>
      </c>
      <c r="C216" s="54">
        <f t="shared" si="6"/>
        <v>42929.582040000001</v>
      </c>
      <c r="D216" s="54">
        <f t="shared" si="7"/>
        <v>42929.623706666665</v>
      </c>
      <c r="E216" s="63">
        <v>42929</v>
      </c>
      <c r="F216" s="61">
        <v>0.58204</v>
      </c>
      <c r="G216" s="63">
        <v>42929</v>
      </c>
      <c r="H216" s="61">
        <v>0.62370666666666663</v>
      </c>
      <c r="I216" s="55">
        <v>30</v>
      </c>
      <c r="J216" s="56" t="s">
        <v>227</v>
      </c>
      <c r="K216" s="75" t="s">
        <v>230</v>
      </c>
      <c r="L216" s="70">
        <v>0</v>
      </c>
    </row>
    <row r="217" spans="1:12" ht="15" customHeight="1">
      <c r="A217" s="53" t="s">
        <v>220</v>
      </c>
      <c r="B217" s="53" t="s">
        <v>30</v>
      </c>
      <c r="C217" s="54">
        <f t="shared" si="6"/>
        <v>42979.491289999998</v>
      </c>
      <c r="D217" s="54">
        <f t="shared" si="7"/>
        <v>42979.53295666667</v>
      </c>
      <c r="E217" s="63">
        <v>42979</v>
      </c>
      <c r="F217" s="61">
        <v>0.49129</v>
      </c>
      <c r="G217" s="63">
        <v>42979</v>
      </c>
      <c r="H217" s="61">
        <v>0.53295666666666663</v>
      </c>
      <c r="I217" s="55">
        <v>30</v>
      </c>
      <c r="J217" s="56" t="s">
        <v>232</v>
      </c>
      <c r="K217" s="75" t="s">
        <v>231</v>
      </c>
      <c r="L217" s="70">
        <v>0</v>
      </c>
    </row>
    <row r="218" spans="1:12" ht="15" customHeight="1">
      <c r="A218" s="53" t="s">
        <v>220</v>
      </c>
      <c r="B218" s="53" t="s">
        <v>31</v>
      </c>
      <c r="C218" s="54">
        <f t="shared" si="6"/>
        <v>42924.665609999996</v>
      </c>
      <c r="D218" s="54">
        <f t="shared" si="7"/>
        <v>42924.707276666668</v>
      </c>
      <c r="E218" s="63">
        <v>42924</v>
      </c>
      <c r="F218" s="61">
        <v>0.66561000000000003</v>
      </c>
      <c r="G218" s="63">
        <v>42924</v>
      </c>
      <c r="H218" s="61">
        <v>0.70727666666666666</v>
      </c>
      <c r="I218" s="55">
        <v>30</v>
      </c>
      <c r="J218" s="56" t="s">
        <v>229</v>
      </c>
      <c r="K218" s="75" t="s">
        <v>230</v>
      </c>
      <c r="L218" s="70">
        <v>0</v>
      </c>
    </row>
    <row r="219" spans="1:12" ht="15" customHeight="1">
      <c r="A219" s="53" t="s">
        <v>220</v>
      </c>
      <c r="B219" s="53" t="s">
        <v>32</v>
      </c>
      <c r="C219" s="54">
        <f t="shared" si="6"/>
        <v>42881.738169999997</v>
      </c>
      <c r="D219" s="54">
        <f t="shared" si="7"/>
        <v>42881.779836666668</v>
      </c>
      <c r="E219" s="63">
        <v>42881</v>
      </c>
      <c r="F219" s="61">
        <v>0.73816999999999999</v>
      </c>
      <c r="G219" s="63">
        <v>42881</v>
      </c>
      <c r="H219" s="61">
        <v>0.77983666666666662</v>
      </c>
      <c r="I219" s="55">
        <v>30</v>
      </c>
      <c r="J219" s="56" t="s">
        <v>232</v>
      </c>
      <c r="K219" s="75" t="s">
        <v>228</v>
      </c>
      <c r="L219" s="70">
        <v>0</v>
      </c>
    </row>
    <row r="220" spans="1:12" ht="15" customHeight="1">
      <c r="A220" s="53" t="s">
        <v>220</v>
      </c>
      <c r="B220" s="53" t="s">
        <v>33</v>
      </c>
      <c r="C220" s="54">
        <f t="shared" si="6"/>
        <v>43068.606160000003</v>
      </c>
      <c r="D220" s="54">
        <f t="shared" si="7"/>
        <v>43068.647826666667</v>
      </c>
      <c r="E220" s="63">
        <v>43068</v>
      </c>
      <c r="F220" s="61">
        <v>0.60616000000000003</v>
      </c>
      <c r="G220" s="63">
        <v>43068</v>
      </c>
      <c r="H220" s="61">
        <v>0.64782666666666666</v>
      </c>
      <c r="I220" s="55">
        <v>30</v>
      </c>
      <c r="J220" s="56" t="s">
        <v>232</v>
      </c>
      <c r="K220" s="75" t="s">
        <v>231</v>
      </c>
      <c r="L220" s="70">
        <v>0</v>
      </c>
    </row>
    <row r="221" spans="1:12" ht="15" customHeight="1">
      <c r="A221" s="53" t="s">
        <v>220</v>
      </c>
      <c r="B221" s="53" t="s">
        <v>34</v>
      </c>
      <c r="C221" s="54">
        <f t="shared" si="6"/>
        <v>42751.600610000001</v>
      </c>
      <c r="D221" s="54">
        <f t="shared" si="7"/>
        <v>42751.642276666666</v>
      </c>
      <c r="E221" s="63">
        <v>42751</v>
      </c>
      <c r="F221" s="61">
        <v>0.60060999999999998</v>
      </c>
      <c r="G221" s="63">
        <v>42751</v>
      </c>
      <c r="H221" s="61">
        <v>0.64227666666666661</v>
      </c>
      <c r="I221" s="55">
        <v>30</v>
      </c>
      <c r="J221" s="56" t="s">
        <v>227</v>
      </c>
      <c r="K221" s="75" t="s">
        <v>230</v>
      </c>
      <c r="L221" s="70">
        <v>0</v>
      </c>
    </row>
    <row r="222" spans="1:12" ht="15" customHeight="1">
      <c r="A222" s="53" t="s">
        <v>220</v>
      </c>
      <c r="B222" s="53" t="s">
        <v>35</v>
      </c>
      <c r="C222" s="54">
        <f t="shared" si="6"/>
        <v>42772.317430000003</v>
      </c>
      <c r="D222" s="54">
        <f t="shared" si="7"/>
        <v>42772.359096666667</v>
      </c>
      <c r="E222" s="63">
        <v>42772</v>
      </c>
      <c r="F222" s="61">
        <v>0.31742999999999999</v>
      </c>
      <c r="G222" s="63">
        <v>42772</v>
      </c>
      <c r="H222" s="61">
        <v>0.35909666666666668</v>
      </c>
      <c r="I222" s="55">
        <v>30</v>
      </c>
      <c r="J222" s="56" t="s">
        <v>232</v>
      </c>
      <c r="K222" s="75" t="s">
        <v>231</v>
      </c>
      <c r="L222" s="70">
        <v>0</v>
      </c>
    </row>
    <row r="223" spans="1:12" ht="15" customHeight="1">
      <c r="A223" s="53" t="s">
        <v>220</v>
      </c>
      <c r="B223" s="53" t="s">
        <v>36</v>
      </c>
      <c r="C223" s="54">
        <f t="shared" si="6"/>
        <v>43017.440329999998</v>
      </c>
      <c r="D223" s="54">
        <f t="shared" si="7"/>
        <v>43017.481996666669</v>
      </c>
      <c r="E223" s="63">
        <v>43017</v>
      </c>
      <c r="F223" s="61">
        <v>0.44033</v>
      </c>
      <c r="G223" s="63">
        <v>43017</v>
      </c>
      <c r="H223" s="61">
        <v>0.48199666666666668</v>
      </c>
      <c r="I223" s="55">
        <v>30</v>
      </c>
      <c r="J223" s="56" t="s">
        <v>227</v>
      </c>
      <c r="K223" s="75" t="s">
        <v>230</v>
      </c>
      <c r="L223" s="70">
        <v>0</v>
      </c>
    </row>
    <row r="224" spans="1:12" ht="15" customHeight="1">
      <c r="A224" s="53" t="s">
        <v>220</v>
      </c>
      <c r="B224" s="53" t="s">
        <v>37</v>
      </c>
      <c r="C224" s="54">
        <f t="shared" si="6"/>
        <v>43048.514199999998</v>
      </c>
      <c r="D224" s="54">
        <f t="shared" si="7"/>
        <v>43048.555866666669</v>
      </c>
      <c r="E224" s="63">
        <v>43048</v>
      </c>
      <c r="F224" s="61">
        <v>0.51419999999999999</v>
      </c>
      <c r="G224" s="63">
        <v>43048</v>
      </c>
      <c r="H224" s="61">
        <v>0.55586666666666662</v>
      </c>
      <c r="I224" s="55">
        <v>30</v>
      </c>
      <c r="J224" s="56" t="s">
        <v>227</v>
      </c>
      <c r="K224" s="75" t="s">
        <v>228</v>
      </c>
      <c r="L224" s="70">
        <v>0</v>
      </c>
    </row>
    <row r="225" spans="1:12" ht="15" customHeight="1">
      <c r="A225" s="53" t="s">
        <v>220</v>
      </c>
      <c r="B225" s="53" t="s">
        <v>38</v>
      </c>
      <c r="C225" s="54">
        <f t="shared" si="6"/>
        <v>42849.626349999999</v>
      </c>
      <c r="D225" s="54">
        <f t="shared" si="7"/>
        <v>42849.66801666667</v>
      </c>
      <c r="E225" s="63">
        <v>42849</v>
      </c>
      <c r="F225" s="61">
        <v>0.62634999999999996</v>
      </c>
      <c r="G225" s="63">
        <v>42849</v>
      </c>
      <c r="H225" s="61">
        <v>0.66801666666666659</v>
      </c>
      <c r="I225" s="55">
        <v>30</v>
      </c>
      <c r="J225" s="56" t="s">
        <v>229</v>
      </c>
      <c r="K225" s="75" t="s">
        <v>230</v>
      </c>
      <c r="L225" s="70">
        <v>0</v>
      </c>
    </row>
    <row r="226" spans="1:12" ht="15" customHeight="1">
      <c r="A226" s="53" t="s">
        <v>220</v>
      </c>
      <c r="B226" s="53" t="s">
        <v>39</v>
      </c>
      <c r="C226" s="54">
        <f t="shared" si="6"/>
        <v>43059.6322</v>
      </c>
      <c r="D226" s="54">
        <f t="shared" si="7"/>
        <v>43059.673866666664</v>
      </c>
      <c r="E226" s="63">
        <v>43059</v>
      </c>
      <c r="F226" s="61">
        <v>0.63219999999999998</v>
      </c>
      <c r="G226" s="63">
        <v>43059</v>
      </c>
      <c r="H226" s="61">
        <v>0.67386666666666661</v>
      </c>
      <c r="I226" s="55">
        <v>30</v>
      </c>
      <c r="J226" s="56" t="s">
        <v>232</v>
      </c>
      <c r="K226" s="75" t="s">
        <v>230</v>
      </c>
      <c r="L226" s="70">
        <v>0</v>
      </c>
    </row>
    <row r="227" spans="1:12" ht="15" customHeight="1">
      <c r="A227" s="53" t="s">
        <v>220</v>
      </c>
      <c r="B227" s="53" t="s">
        <v>40</v>
      </c>
      <c r="C227" s="54">
        <f t="shared" si="6"/>
        <v>42908.363120000002</v>
      </c>
      <c r="D227" s="54">
        <f t="shared" si="7"/>
        <v>42908.404786666666</v>
      </c>
      <c r="E227" s="63">
        <v>42908</v>
      </c>
      <c r="F227" s="61">
        <v>0.36312</v>
      </c>
      <c r="G227" s="63">
        <v>42908</v>
      </c>
      <c r="H227" s="61">
        <v>0.40478666666666668</v>
      </c>
      <c r="I227" s="55">
        <v>30</v>
      </c>
      <c r="J227" s="56" t="s">
        <v>227</v>
      </c>
      <c r="K227" s="75" t="s">
        <v>231</v>
      </c>
      <c r="L227" s="70">
        <v>0</v>
      </c>
    </row>
    <row r="228" spans="1:12" ht="15" customHeight="1">
      <c r="A228" s="53" t="s">
        <v>220</v>
      </c>
      <c r="B228" s="53" t="s">
        <v>41</v>
      </c>
      <c r="C228" s="54">
        <f t="shared" si="6"/>
        <v>43044.489710000002</v>
      </c>
      <c r="D228" s="54">
        <f t="shared" si="7"/>
        <v>43044.531376666666</v>
      </c>
      <c r="E228" s="63">
        <v>43044</v>
      </c>
      <c r="F228" s="61">
        <v>0.48970999999999998</v>
      </c>
      <c r="G228" s="63">
        <v>43044</v>
      </c>
      <c r="H228" s="61">
        <v>0.53137666666666661</v>
      </c>
      <c r="I228" s="55">
        <v>30</v>
      </c>
      <c r="J228" s="56" t="s">
        <v>232</v>
      </c>
      <c r="K228" s="75" t="s">
        <v>231</v>
      </c>
      <c r="L228" s="70">
        <v>0</v>
      </c>
    </row>
    <row r="229" spans="1:12" ht="15" customHeight="1">
      <c r="A229" s="53" t="s">
        <v>220</v>
      </c>
      <c r="B229" s="53" t="s">
        <v>42</v>
      </c>
      <c r="C229" s="54">
        <f t="shared" si="6"/>
        <v>43100.566910000001</v>
      </c>
      <c r="D229" s="54">
        <f t="shared" si="7"/>
        <v>43100.608576666666</v>
      </c>
      <c r="E229" s="63">
        <v>43100</v>
      </c>
      <c r="F229" s="61">
        <v>0.56691000000000003</v>
      </c>
      <c r="G229" s="63">
        <v>43100</v>
      </c>
      <c r="H229" s="61">
        <v>0.60857666666666665</v>
      </c>
      <c r="I229" s="55">
        <v>30</v>
      </c>
      <c r="J229" s="56" t="s">
        <v>232</v>
      </c>
      <c r="K229" s="75" t="s">
        <v>231</v>
      </c>
      <c r="L229" s="70">
        <v>0</v>
      </c>
    </row>
    <row r="230" spans="1:12" ht="15" customHeight="1">
      <c r="A230" s="53" t="s">
        <v>220</v>
      </c>
      <c r="B230" s="53" t="s">
        <v>43</v>
      </c>
      <c r="C230" s="54">
        <f t="shared" si="6"/>
        <v>42991.576459999997</v>
      </c>
      <c r="D230" s="54">
        <f t="shared" si="7"/>
        <v>42991.618126666668</v>
      </c>
      <c r="E230" s="63">
        <v>42991</v>
      </c>
      <c r="F230" s="61">
        <v>0.57645999999999997</v>
      </c>
      <c r="G230" s="63">
        <v>42991</v>
      </c>
      <c r="H230" s="61">
        <v>0.6181266666666666</v>
      </c>
      <c r="I230" s="55">
        <v>30</v>
      </c>
      <c r="J230" s="56" t="s">
        <v>229</v>
      </c>
      <c r="K230" s="75" t="s">
        <v>228</v>
      </c>
      <c r="L230" s="70">
        <v>0</v>
      </c>
    </row>
    <row r="231" spans="1:12" ht="15" customHeight="1">
      <c r="A231" s="53" t="s">
        <v>220</v>
      </c>
      <c r="B231" s="53" t="s">
        <v>44</v>
      </c>
      <c r="C231" s="54">
        <f t="shared" si="6"/>
        <v>42981.539199999999</v>
      </c>
      <c r="D231" s="54">
        <f t="shared" si="7"/>
        <v>42981.580866666663</v>
      </c>
      <c r="E231" s="63">
        <v>42981</v>
      </c>
      <c r="F231" s="61">
        <v>0.53920000000000001</v>
      </c>
      <c r="G231" s="63">
        <v>42981</v>
      </c>
      <c r="H231" s="61">
        <v>0.58086666666666664</v>
      </c>
      <c r="I231" s="55">
        <v>30</v>
      </c>
      <c r="J231" s="56" t="s">
        <v>229</v>
      </c>
      <c r="K231" s="75" t="s">
        <v>228</v>
      </c>
      <c r="L231" s="70">
        <v>0</v>
      </c>
    </row>
    <row r="232" spans="1:12" ht="15" customHeight="1">
      <c r="A232" s="53" t="s">
        <v>220</v>
      </c>
      <c r="B232" s="53" t="s">
        <v>45</v>
      </c>
      <c r="C232" s="54">
        <f t="shared" si="6"/>
        <v>42958.404150000002</v>
      </c>
      <c r="D232" s="54">
        <f t="shared" si="7"/>
        <v>42958.445816666666</v>
      </c>
      <c r="E232" s="63">
        <v>42958</v>
      </c>
      <c r="F232" s="61">
        <v>0.40415000000000001</v>
      </c>
      <c r="G232" s="63">
        <v>42958</v>
      </c>
      <c r="H232" s="61">
        <v>0.44581666666666669</v>
      </c>
      <c r="I232" s="55">
        <v>30</v>
      </c>
      <c r="J232" s="56" t="s">
        <v>229</v>
      </c>
      <c r="K232" s="75" t="s">
        <v>228</v>
      </c>
      <c r="L232" s="70">
        <v>0</v>
      </c>
    </row>
    <row r="233" spans="1:12" ht="15" customHeight="1">
      <c r="A233" s="53" t="s">
        <v>220</v>
      </c>
      <c r="B233" s="53" t="s">
        <v>46</v>
      </c>
      <c r="C233" s="54">
        <f t="shared" si="6"/>
        <v>43011.599159999998</v>
      </c>
      <c r="D233" s="54">
        <f t="shared" si="7"/>
        <v>43011.640826666669</v>
      </c>
      <c r="E233" s="63">
        <v>43011</v>
      </c>
      <c r="F233" s="61">
        <v>0.59916000000000003</v>
      </c>
      <c r="G233" s="63">
        <v>43011</v>
      </c>
      <c r="H233" s="61">
        <v>0.64082666666666666</v>
      </c>
      <c r="I233" s="55">
        <v>30</v>
      </c>
      <c r="J233" s="56" t="s">
        <v>229</v>
      </c>
      <c r="K233" s="75" t="s">
        <v>231</v>
      </c>
      <c r="L233" s="70">
        <v>0</v>
      </c>
    </row>
    <row r="234" spans="1:12" ht="15" customHeight="1">
      <c r="A234" s="53" t="s">
        <v>220</v>
      </c>
      <c r="B234" s="53" t="s">
        <v>47</v>
      </c>
      <c r="C234" s="54">
        <f t="shared" si="6"/>
        <v>43046.328410000002</v>
      </c>
      <c r="D234" s="54">
        <f t="shared" si="7"/>
        <v>43046.370076666666</v>
      </c>
      <c r="E234" s="63">
        <v>43046</v>
      </c>
      <c r="F234" s="61">
        <v>0.32840999999999998</v>
      </c>
      <c r="G234" s="63">
        <v>43046</v>
      </c>
      <c r="H234" s="61">
        <v>0.37007666666666666</v>
      </c>
      <c r="I234" s="55">
        <v>30</v>
      </c>
      <c r="J234" s="56" t="s">
        <v>229</v>
      </c>
      <c r="K234" s="75" t="s">
        <v>230</v>
      </c>
      <c r="L234" s="70">
        <v>0</v>
      </c>
    </row>
    <row r="235" spans="1:12" ht="15" customHeight="1">
      <c r="A235" s="53" t="s">
        <v>220</v>
      </c>
      <c r="B235" s="53" t="s">
        <v>48</v>
      </c>
      <c r="C235" s="54">
        <f t="shared" si="6"/>
        <v>42857.384720000002</v>
      </c>
      <c r="D235" s="54">
        <f t="shared" si="7"/>
        <v>42857.426386666666</v>
      </c>
      <c r="E235" s="63">
        <v>42857</v>
      </c>
      <c r="F235" s="61">
        <v>0.38472000000000001</v>
      </c>
      <c r="G235" s="63">
        <v>42857</v>
      </c>
      <c r="H235" s="61">
        <v>0.42638666666666669</v>
      </c>
      <c r="I235" s="55">
        <v>30</v>
      </c>
      <c r="J235" s="56" t="s">
        <v>232</v>
      </c>
      <c r="K235" s="75" t="s">
        <v>228</v>
      </c>
      <c r="L235" s="70">
        <v>0</v>
      </c>
    </row>
    <row r="236" spans="1:12" ht="15" customHeight="1">
      <c r="A236" s="53" t="s">
        <v>220</v>
      </c>
      <c r="B236" s="53" t="s">
        <v>49</v>
      </c>
      <c r="C236" s="54">
        <f t="shared" si="6"/>
        <v>42783.312899999997</v>
      </c>
      <c r="D236" s="54">
        <f t="shared" si="7"/>
        <v>42783.354566666669</v>
      </c>
      <c r="E236" s="63">
        <v>42783</v>
      </c>
      <c r="F236" s="61">
        <v>0.31290000000000001</v>
      </c>
      <c r="G236" s="63">
        <v>42783</v>
      </c>
      <c r="H236" s="61">
        <v>0.3545666666666667</v>
      </c>
      <c r="I236" s="55">
        <v>30</v>
      </c>
      <c r="J236" s="56" t="s">
        <v>227</v>
      </c>
      <c r="K236" s="75" t="s">
        <v>230</v>
      </c>
      <c r="L236" s="70">
        <v>0</v>
      </c>
    </row>
    <row r="237" spans="1:12" ht="15" customHeight="1">
      <c r="A237" s="53" t="s">
        <v>220</v>
      </c>
      <c r="B237" s="53" t="s">
        <v>50</v>
      </c>
      <c r="C237" s="54">
        <f t="shared" si="6"/>
        <v>42962.379849999998</v>
      </c>
      <c r="D237" s="54">
        <f t="shared" si="7"/>
        <v>42962.421516666669</v>
      </c>
      <c r="E237" s="63">
        <v>42962</v>
      </c>
      <c r="F237" s="61">
        <v>0.37985000000000002</v>
      </c>
      <c r="G237" s="63">
        <v>42962</v>
      </c>
      <c r="H237" s="61">
        <v>0.42151666666666671</v>
      </c>
      <c r="I237" s="55">
        <v>30</v>
      </c>
      <c r="J237" s="56" t="s">
        <v>232</v>
      </c>
      <c r="K237" s="75" t="s">
        <v>230</v>
      </c>
      <c r="L237" s="70">
        <v>0</v>
      </c>
    </row>
    <row r="238" spans="1:12" ht="15" customHeight="1">
      <c r="A238" s="53" t="s">
        <v>220</v>
      </c>
      <c r="B238" s="53" t="s">
        <v>51</v>
      </c>
      <c r="C238" s="54">
        <f t="shared" si="6"/>
        <v>42899.690479999997</v>
      </c>
      <c r="D238" s="54">
        <f t="shared" si="7"/>
        <v>42899.732146666669</v>
      </c>
      <c r="E238" s="63">
        <v>42899</v>
      </c>
      <c r="F238" s="61">
        <v>0.69047999999999998</v>
      </c>
      <c r="G238" s="63">
        <v>42899</v>
      </c>
      <c r="H238" s="61">
        <v>0.73214666666666661</v>
      </c>
      <c r="I238" s="55">
        <v>30</v>
      </c>
      <c r="J238" s="56" t="s">
        <v>232</v>
      </c>
      <c r="K238" s="75" t="s">
        <v>230</v>
      </c>
      <c r="L238" s="70">
        <v>0</v>
      </c>
    </row>
    <row r="239" spans="1:12" ht="15" customHeight="1">
      <c r="A239" s="53" t="s">
        <v>220</v>
      </c>
      <c r="B239" s="53" t="s">
        <v>52</v>
      </c>
      <c r="C239" s="54">
        <f t="shared" si="6"/>
        <v>42744.755830000002</v>
      </c>
      <c r="D239" s="54">
        <f t="shared" si="7"/>
        <v>42744.797496666666</v>
      </c>
      <c r="E239" s="63">
        <v>42744</v>
      </c>
      <c r="F239" s="61">
        <v>0.75583</v>
      </c>
      <c r="G239" s="63">
        <v>42744</v>
      </c>
      <c r="H239" s="61">
        <v>0.79749666666666663</v>
      </c>
      <c r="I239" s="55">
        <v>30</v>
      </c>
      <c r="J239" s="56" t="s">
        <v>227</v>
      </c>
      <c r="K239" s="75" t="s">
        <v>230</v>
      </c>
      <c r="L239" s="70">
        <v>0</v>
      </c>
    </row>
    <row r="240" spans="1:12" ht="15" customHeight="1">
      <c r="A240" s="53" t="s">
        <v>220</v>
      </c>
      <c r="B240" s="53" t="s">
        <v>53</v>
      </c>
      <c r="C240" s="54">
        <f t="shared" si="6"/>
        <v>42759.32533</v>
      </c>
      <c r="D240" s="54">
        <f t="shared" si="7"/>
        <v>42759.366996666664</v>
      </c>
      <c r="E240" s="63">
        <v>42759</v>
      </c>
      <c r="F240" s="61">
        <v>0.32533000000000001</v>
      </c>
      <c r="G240" s="63">
        <v>42759</v>
      </c>
      <c r="H240" s="61">
        <v>0.36699666666666669</v>
      </c>
      <c r="I240" s="55">
        <v>30</v>
      </c>
      <c r="J240" s="56" t="s">
        <v>232</v>
      </c>
      <c r="K240" s="75" t="s">
        <v>230</v>
      </c>
      <c r="L240" s="70">
        <v>0</v>
      </c>
    </row>
    <row r="241" spans="1:12" ht="15" customHeight="1">
      <c r="A241" s="53" t="s">
        <v>220</v>
      </c>
      <c r="B241" s="53" t="s">
        <v>54</v>
      </c>
      <c r="C241" s="54">
        <f t="shared" si="6"/>
        <v>43024.536169999999</v>
      </c>
      <c r="D241" s="54">
        <f t="shared" si="7"/>
        <v>43024.577836666664</v>
      </c>
      <c r="E241" s="63">
        <v>43024</v>
      </c>
      <c r="F241" s="61">
        <v>0.53617000000000004</v>
      </c>
      <c r="G241" s="63">
        <v>43024</v>
      </c>
      <c r="H241" s="61">
        <v>0.57783666666666667</v>
      </c>
      <c r="I241" s="55">
        <v>30</v>
      </c>
      <c r="J241" s="56" t="s">
        <v>229</v>
      </c>
      <c r="K241" s="75" t="s">
        <v>230</v>
      </c>
      <c r="L241" s="70">
        <v>0</v>
      </c>
    </row>
    <row r="242" spans="1:12" ht="15" customHeight="1">
      <c r="A242" s="53" t="s">
        <v>220</v>
      </c>
      <c r="B242" s="53" t="s">
        <v>55</v>
      </c>
      <c r="C242" s="54">
        <f t="shared" si="6"/>
        <v>42951.704530000003</v>
      </c>
      <c r="D242" s="54">
        <f t="shared" si="7"/>
        <v>42951.746196666667</v>
      </c>
      <c r="E242" s="63">
        <v>42951</v>
      </c>
      <c r="F242" s="61">
        <v>0.70452999999999999</v>
      </c>
      <c r="G242" s="63">
        <v>42951</v>
      </c>
      <c r="H242" s="61">
        <v>0.74619666666666662</v>
      </c>
      <c r="I242" s="55">
        <v>30</v>
      </c>
      <c r="J242" s="56" t="s">
        <v>227</v>
      </c>
      <c r="K242" s="75" t="s">
        <v>231</v>
      </c>
      <c r="L242" s="70">
        <v>0</v>
      </c>
    </row>
    <row r="243" spans="1:12" ht="15" customHeight="1">
      <c r="A243" s="53" t="s">
        <v>220</v>
      </c>
      <c r="B243" s="53" t="s">
        <v>56</v>
      </c>
      <c r="C243" s="54">
        <f t="shared" si="6"/>
        <v>42931.605640000002</v>
      </c>
      <c r="D243" s="54">
        <f t="shared" si="7"/>
        <v>42931.647306666666</v>
      </c>
      <c r="E243" s="63">
        <v>42931</v>
      </c>
      <c r="F243" s="61">
        <v>0.60563999999999996</v>
      </c>
      <c r="G243" s="63">
        <v>42931</v>
      </c>
      <c r="H243" s="61">
        <v>0.64730666666666659</v>
      </c>
      <c r="I243" s="55">
        <v>30</v>
      </c>
      <c r="J243" s="56" t="s">
        <v>227</v>
      </c>
      <c r="K243" s="75" t="s">
        <v>230</v>
      </c>
      <c r="L243" s="70">
        <v>0</v>
      </c>
    </row>
    <row r="244" spans="1:12" ht="15" customHeight="1">
      <c r="A244" s="53" t="s">
        <v>220</v>
      </c>
      <c r="B244" s="53" t="s">
        <v>57</v>
      </c>
      <c r="C244" s="54">
        <f t="shared" si="6"/>
        <v>42865.387040000001</v>
      </c>
      <c r="D244" s="54">
        <f t="shared" si="7"/>
        <v>42865.428706666666</v>
      </c>
      <c r="E244" s="63">
        <v>42865</v>
      </c>
      <c r="F244" s="61">
        <v>0.38704</v>
      </c>
      <c r="G244" s="63">
        <v>42865</v>
      </c>
      <c r="H244" s="61">
        <v>0.42870666666666668</v>
      </c>
      <c r="I244" s="55">
        <v>30</v>
      </c>
      <c r="J244" s="56" t="s">
        <v>232</v>
      </c>
      <c r="K244" s="75" t="s">
        <v>228</v>
      </c>
      <c r="L244" s="70">
        <v>0</v>
      </c>
    </row>
    <row r="245" spans="1:12" ht="15" customHeight="1">
      <c r="A245" s="53" t="s">
        <v>220</v>
      </c>
      <c r="B245" s="53" t="s">
        <v>58</v>
      </c>
      <c r="C245" s="54">
        <f t="shared" si="6"/>
        <v>42927.444889999999</v>
      </c>
      <c r="D245" s="54">
        <f t="shared" si="7"/>
        <v>42927.486556666663</v>
      </c>
      <c r="E245" s="63">
        <v>42927</v>
      </c>
      <c r="F245" s="61">
        <v>0.44489000000000001</v>
      </c>
      <c r="G245" s="63">
        <v>42927</v>
      </c>
      <c r="H245" s="61">
        <v>0.48655666666666669</v>
      </c>
      <c r="I245" s="55">
        <v>30</v>
      </c>
      <c r="J245" s="56" t="s">
        <v>229</v>
      </c>
      <c r="K245" s="75" t="s">
        <v>230</v>
      </c>
      <c r="L245" s="70">
        <v>0</v>
      </c>
    </row>
    <row r="246" spans="1:12" ht="15" customHeight="1">
      <c r="A246" s="53" t="s">
        <v>220</v>
      </c>
      <c r="B246" s="53" t="s">
        <v>59</v>
      </c>
      <c r="C246" s="54">
        <f t="shared" si="6"/>
        <v>42754.762320000002</v>
      </c>
      <c r="D246" s="54">
        <f t="shared" si="7"/>
        <v>42754.803986666666</v>
      </c>
      <c r="E246" s="63">
        <v>42754</v>
      </c>
      <c r="F246" s="61">
        <v>0.76232</v>
      </c>
      <c r="G246" s="63">
        <v>42754</v>
      </c>
      <c r="H246" s="61">
        <v>0.80398666666666663</v>
      </c>
      <c r="I246" s="55">
        <v>30</v>
      </c>
      <c r="J246" s="56" t="s">
        <v>227</v>
      </c>
      <c r="K246" s="75" t="s">
        <v>228</v>
      </c>
      <c r="L246" s="70">
        <v>0</v>
      </c>
    </row>
    <row r="247" spans="1:12" ht="15" customHeight="1">
      <c r="A247" s="53" t="s">
        <v>220</v>
      </c>
      <c r="B247" s="53" t="s">
        <v>60</v>
      </c>
      <c r="C247" s="54">
        <f t="shared" si="6"/>
        <v>43048.415090000002</v>
      </c>
      <c r="D247" s="54">
        <f t="shared" si="7"/>
        <v>43048.456756666666</v>
      </c>
      <c r="E247" s="63">
        <v>43048</v>
      </c>
      <c r="F247" s="61">
        <v>0.41509000000000001</v>
      </c>
      <c r="G247" s="63">
        <v>43048</v>
      </c>
      <c r="H247" s="61">
        <v>0.4567566666666667</v>
      </c>
      <c r="I247" s="55">
        <v>30</v>
      </c>
      <c r="J247" s="56" t="s">
        <v>227</v>
      </c>
      <c r="K247" s="75" t="s">
        <v>231</v>
      </c>
      <c r="L247" s="70">
        <v>0</v>
      </c>
    </row>
    <row r="248" spans="1:12" ht="15" customHeight="1">
      <c r="A248" s="53" t="s">
        <v>220</v>
      </c>
      <c r="B248" s="53" t="s">
        <v>61</v>
      </c>
      <c r="C248" s="54">
        <f t="shared" si="6"/>
        <v>42865.715799999998</v>
      </c>
      <c r="D248" s="54">
        <f t="shared" si="7"/>
        <v>42865.75746666667</v>
      </c>
      <c r="E248" s="63">
        <v>42865</v>
      </c>
      <c r="F248" s="61">
        <v>0.71579999999999999</v>
      </c>
      <c r="G248" s="63">
        <v>42865</v>
      </c>
      <c r="H248" s="61">
        <v>0.75746666666666662</v>
      </c>
      <c r="I248" s="55">
        <v>30</v>
      </c>
      <c r="J248" s="56" t="s">
        <v>232</v>
      </c>
      <c r="K248" s="75" t="s">
        <v>230</v>
      </c>
      <c r="L248" s="70">
        <v>0</v>
      </c>
    </row>
    <row r="249" spans="1:12" ht="15" customHeight="1">
      <c r="A249" s="53" t="s">
        <v>220</v>
      </c>
      <c r="B249" s="53" t="s">
        <v>62</v>
      </c>
      <c r="C249" s="54">
        <f t="shared" si="6"/>
        <v>42827.500919999999</v>
      </c>
      <c r="D249" s="54">
        <f t="shared" si="7"/>
        <v>42827.54258666667</v>
      </c>
      <c r="E249" s="63">
        <v>42827</v>
      </c>
      <c r="F249" s="61">
        <v>0.50092000000000003</v>
      </c>
      <c r="G249" s="63">
        <v>42827</v>
      </c>
      <c r="H249" s="61">
        <v>0.54258666666666666</v>
      </c>
      <c r="I249" s="55">
        <v>30</v>
      </c>
      <c r="J249" s="56" t="s">
        <v>227</v>
      </c>
      <c r="K249" s="75" t="s">
        <v>230</v>
      </c>
      <c r="L249" s="70">
        <v>0</v>
      </c>
    </row>
    <row r="250" spans="1:12" ht="15" customHeight="1">
      <c r="A250" s="53" t="s">
        <v>220</v>
      </c>
      <c r="B250" s="53" t="s">
        <v>63</v>
      </c>
      <c r="C250" s="54">
        <f t="shared" si="6"/>
        <v>42758.4493</v>
      </c>
      <c r="D250" s="54">
        <f t="shared" si="7"/>
        <v>42758.490966666664</v>
      </c>
      <c r="E250" s="63">
        <v>42758</v>
      </c>
      <c r="F250" s="61">
        <v>0.44929999999999998</v>
      </c>
      <c r="G250" s="63">
        <v>42758</v>
      </c>
      <c r="H250" s="61">
        <v>0.49096666666666666</v>
      </c>
      <c r="I250" s="55">
        <v>30</v>
      </c>
      <c r="J250" s="56" t="s">
        <v>229</v>
      </c>
      <c r="K250" s="75" t="s">
        <v>228</v>
      </c>
      <c r="L250" s="70">
        <v>0</v>
      </c>
    </row>
    <row r="251" spans="1:12" ht="15" customHeight="1">
      <c r="A251" s="53" t="s">
        <v>220</v>
      </c>
      <c r="B251" s="53" t="s">
        <v>64</v>
      </c>
      <c r="C251" s="54">
        <f t="shared" si="6"/>
        <v>42930.601540000003</v>
      </c>
      <c r="D251" s="54">
        <f t="shared" si="7"/>
        <v>42930.643206666668</v>
      </c>
      <c r="E251" s="63">
        <v>42930</v>
      </c>
      <c r="F251" s="61">
        <v>0.60153999999999996</v>
      </c>
      <c r="G251" s="63">
        <v>42930</v>
      </c>
      <c r="H251" s="61">
        <v>0.64320666666666659</v>
      </c>
      <c r="I251" s="55">
        <v>30</v>
      </c>
      <c r="J251" s="56" t="s">
        <v>232</v>
      </c>
      <c r="K251" s="75" t="s">
        <v>228</v>
      </c>
      <c r="L251" s="70">
        <v>0</v>
      </c>
    </row>
    <row r="252" spans="1:12" ht="15" customHeight="1">
      <c r="A252" s="53" t="s">
        <v>220</v>
      </c>
      <c r="B252" s="53" t="s">
        <v>65</v>
      </c>
      <c r="C252" s="54">
        <f t="shared" si="6"/>
        <v>43052.331330000001</v>
      </c>
      <c r="D252" s="54">
        <f t="shared" si="7"/>
        <v>43052.372996666665</v>
      </c>
      <c r="E252" s="63">
        <v>43052</v>
      </c>
      <c r="F252" s="61">
        <v>0.33133000000000001</v>
      </c>
      <c r="G252" s="63">
        <v>43052</v>
      </c>
      <c r="H252" s="61">
        <v>0.3729966666666667</v>
      </c>
      <c r="I252" s="55">
        <v>30</v>
      </c>
      <c r="J252" s="56" t="s">
        <v>227</v>
      </c>
      <c r="K252" s="75" t="s">
        <v>230</v>
      </c>
      <c r="L252" s="70">
        <v>0</v>
      </c>
    </row>
    <row r="253" spans="1:12" ht="15" customHeight="1">
      <c r="A253" s="53" t="s">
        <v>220</v>
      </c>
      <c r="B253" s="53" t="s">
        <v>66</v>
      </c>
      <c r="C253" s="54">
        <f t="shared" si="6"/>
        <v>43066.570039999999</v>
      </c>
      <c r="D253" s="54">
        <f t="shared" si="7"/>
        <v>43066.61170666667</v>
      </c>
      <c r="E253" s="63">
        <v>43066</v>
      </c>
      <c r="F253" s="61">
        <v>0.57003999999999999</v>
      </c>
      <c r="G253" s="63">
        <v>43066</v>
      </c>
      <c r="H253" s="61">
        <v>0.61170666666666662</v>
      </c>
      <c r="I253" s="55">
        <v>30</v>
      </c>
      <c r="J253" s="56" t="s">
        <v>232</v>
      </c>
      <c r="K253" s="75" t="s">
        <v>230</v>
      </c>
      <c r="L253" s="70">
        <v>0</v>
      </c>
    </row>
    <row r="254" spans="1:12" ht="15" customHeight="1">
      <c r="A254" s="53" t="s">
        <v>220</v>
      </c>
      <c r="B254" s="53" t="s">
        <v>67</v>
      </c>
      <c r="C254" s="54">
        <f t="shared" si="6"/>
        <v>42851.721700000002</v>
      </c>
      <c r="D254" s="54">
        <f t="shared" si="7"/>
        <v>42851.763366666666</v>
      </c>
      <c r="E254" s="63">
        <v>42851</v>
      </c>
      <c r="F254" s="61">
        <v>0.72170000000000001</v>
      </c>
      <c r="G254" s="63">
        <v>42851</v>
      </c>
      <c r="H254" s="61">
        <v>0.76336666666666664</v>
      </c>
      <c r="I254" s="55">
        <v>30</v>
      </c>
      <c r="J254" s="56" t="s">
        <v>229</v>
      </c>
      <c r="K254" s="75" t="s">
        <v>230</v>
      </c>
      <c r="L254" s="70">
        <v>0</v>
      </c>
    </row>
    <row r="255" spans="1:12" ht="15" customHeight="1">
      <c r="A255" s="53" t="s">
        <v>220</v>
      </c>
      <c r="B255" s="53" t="s">
        <v>68</v>
      </c>
      <c r="C255" s="54">
        <f t="shared" si="6"/>
        <v>42955.344519999999</v>
      </c>
      <c r="D255" s="54">
        <f t="shared" si="7"/>
        <v>42955.38618666667</v>
      </c>
      <c r="E255" s="63">
        <v>42955</v>
      </c>
      <c r="F255" s="61">
        <v>0.34451999999999999</v>
      </c>
      <c r="G255" s="63">
        <v>42955</v>
      </c>
      <c r="H255" s="61">
        <v>0.38618666666666668</v>
      </c>
      <c r="I255" s="55">
        <v>30</v>
      </c>
      <c r="J255" s="56" t="s">
        <v>227</v>
      </c>
      <c r="K255" s="75" t="s">
        <v>230</v>
      </c>
      <c r="L255" s="70">
        <v>0</v>
      </c>
    </row>
    <row r="256" spans="1:12" ht="15" customHeight="1">
      <c r="A256" s="53" t="s">
        <v>220</v>
      </c>
      <c r="B256" s="53" t="s">
        <v>69</v>
      </c>
      <c r="C256" s="54">
        <f t="shared" si="6"/>
        <v>42833.637349999997</v>
      </c>
      <c r="D256" s="54">
        <f t="shared" si="7"/>
        <v>42833.679016666669</v>
      </c>
      <c r="E256" s="63">
        <v>42833</v>
      </c>
      <c r="F256" s="61">
        <v>0.63734999999999997</v>
      </c>
      <c r="G256" s="63">
        <v>42833</v>
      </c>
      <c r="H256" s="61">
        <v>0.6790166666666666</v>
      </c>
      <c r="I256" s="55">
        <v>30</v>
      </c>
      <c r="J256" s="56" t="s">
        <v>229</v>
      </c>
      <c r="K256" s="75" t="s">
        <v>231</v>
      </c>
      <c r="L256" s="70">
        <v>0</v>
      </c>
    </row>
    <row r="257" spans="1:12" ht="15" customHeight="1">
      <c r="A257" s="53" t="s">
        <v>220</v>
      </c>
      <c r="B257" s="53" t="s">
        <v>70</v>
      </c>
      <c r="C257" s="54">
        <f t="shared" si="6"/>
        <v>42948.355100000001</v>
      </c>
      <c r="D257" s="54">
        <f t="shared" si="7"/>
        <v>42948.396766666665</v>
      </c>
      <c r="E257" s="63">
        <v>42948</v>
      </c>
      <c r="F257" s="61">
        <v>0.35510000000000003</v>
      </c>
      <c r="G257" s="63">
        <v>42948</v>
      </c>
      <c r="H257" s="61">
        <v>0.39676666666666671</v>
      </c>
      <c r="I257" s="55">
        <v>30</v>
      </c>
      <c r="J257" s="56" t="s">
        <v>232</v>
      </c>
      <c r="K257" s="75" t="s">
        <v>231</v>
      </c>
      <c r="L257" s="70">
        <v>0</v>
      </c>
    </row>
    <row r="258" spans="1:12" ht="15" customHeight="1">
      <c r="A258" s="53" t="s">
        <v>220</v>
      </c>
      <c r="B258" s="53" t="s">
        <v>71</v>
      </c>
      <c r="C258" s="54">
        <f t="shared" si="6"/>
        <v>42838.715219999998</v>
      </c>
      <c r="D258" s="54">
        <f t="shared" si="7"/>
        <v>42838.75688666667</v>
      </c>
      <c r="E258" s="63">
        <v>42838</v>
      </c>
      <c r="F258" s="61">
        <v>0.71521999999999997</v>
      </c>
      <c r="G258" s="63">
        <v>42838</v>
      </c>
      <c r="H258" s="61">
        <v>0.7568866666666666</v>
      </c>
      <c r="I258" s="55">
        <v>30</v>
      </c>
      <c r="J258" s="56" t="s">
        <v>232</v>
      </c>
      <c r="K258" s="75" t="s">
        <v>231</v>
      </c>
      <c r="L258" s="70">
        <v>0</v>
      </c>
    </row>
    <row r="259" spans="1:12" ht="15" customHeight="1">
      <c r="A259" s="53" t="s">
        <v>220</v>
      </c>
      <c r="B259" s="53" t="s">
        <v>72</v>
      </c>
      <c r="C259" s="54">
        <f t="shared" ref="C259:C322" si="8">E259+F259</f>
        <v>43049.675629999998</v>
      </c>
      <c r="D259" s="54">
        <f t="shared" ref="D259:D322" si="9">G259+H259</f>
        <v>43049.717296666669</v>
      </c>
      <c r="E259" s="63">
        <v>43049</v>
      </c>
      <c r="F259" s="61">
        <v>0.67562999999999995</v>
      </c>
      <c r="G259" s="63">
        <v>43049</v>
      </c>
      <c r="H259" s="61">
        <v>0.71729666666666658</v>
      </c>
      <c r="I259" s="55">
        <v>30</v>
      </c>
      <c r="J259" s="56" t="s">
        <v>227</v>
      </c>
      <c r="K259" s="75" t="s">
        <v>230</v>
      </c>
      <c r="L259" s="70">
        <v>0</v>
      </c>
    </row>
    <row r="260" spans="1:12" ht="15" customHeight="1">
      <c r="A260" s="53" t="s">
        <v>220</v>
      </c>
      <c r="B260" s="53" t="s">
        <v>73</v>
      </c>
      <c r="C260" s="54">
        <f t="shared" si="8"/>
        <v>42939.607080000002</v>
      </c>
      <c r="D260" s="54">
        <f t="shared" si="9"/>
        <v>42939.648746666666</v>
      </c>
      <c r="E260" s="63">
        <v>42939</v>
      </c>
      <c r="F260" s="61">
        <v>0.60707999999999995</v>
      </c>
      <c r="G260" s="63">
        <v>42939</v>
      </c>
      <c r="H260" s="61">
        <v>0.64874666666666658</v>
      </c>
      <c r="I260" s="55">
        <v>30</v>
      </c>
      <c r="J260" s="56" t="s">
        <v>229</v>
      </c>
      <c r="K260" s="75" t="s">
        <v>228</v>
      </c>
      <c r="L260" s="70">
        <v>0</v>
      </c>
    </row>
    <row r="261" spans="1:12" ht="15" customHeight="1">
      <c r="A261" s="53" t="s">
        <v>220</v>
      </c>
      <c r="B261" s="53" t="s">
        <v>74</v>
      </c>
      <c r="C261" s="54">
        <f t="shared" si="8"/>
        <v>42859.735699999997</v>
      </c>
      <c r="D261" s="54">
        <f t="shared" si="9"/>
        <v>42859.777366666669</v>
      </c>
      <c r="E261" s="63">
        <v>42859</v>
      </c>
      <c r="F261" s="61">
        <v>0.73570000000000002</v>
      </c>
      <c r="G261" s="63">
        <v>42859</v>
      </c>
      <c r="H261" s="61">
        <v>0.77736666666666665</v>
      </c>
      <c r="I261" s="55">
        <v>30</v>
      </c>
      <c r="J261" s="56" t="s">
        <v>227</v>
      </c>
      <c r="K261" s="75" t="s">
        <v>231</v>
      </c>
      <c r="L261" s="70">
        <v>0</v>
      </c>
    </row>
    <row r="262" spans="1:12" ht="15" customHeight="1">
      <c r="A262" s="53" t="s">
        <v>220</v>
      </c>
      <c r="B262" s="53" t="s">
        <v>75</v>
      </c>
      <c r="C262" s="54">
        <f t="shared" si="8"/>
        <v>42844.583769999997</v>
      </c>
      <c r="D262" s="54">
        <f t="shared" si="9"/>
        <v>42844.625436666669</v>
      </c>
      <c r="E262" s="63">
        <v>42844</v>
      </c>
      <c r="F262" s="61">
        <v>0.58377000000000001</v>
      </c>
      <c r="G262" s="63">
        <v>42844</v>
      </c>
      <c r="H262" s="61">
        <v>0.62543666666666664</v>
      </c>
      <c r="I262" s="55">
        <v>30</v>
      </c>
      <c r="J262" s="56" t="s">
        <v>227</v>
      </c>
      <c r="K262" s="75" t="s">
        <v>228</v>
      </c>
      <c r="L262" s="70">
        <v>0</v>
      </c>
    </row>
    <row r="263" spans="1:12" ht="15" customHeight="1">
      <c r="A263" s="53" t="s">
        <v>220</v>
      </c>
      <c r="B263" s="53" t="s">
        <v>76</v>
      </c>
      <c r="C263" s="54">
        <f t="shared" si="8"/>
        <v>43004.464139999996</v>
      </c>
      <c r="D263" s="54">
        <f t="shared" si="9"/>
        <v>43004.505806666668</v>
      </c>
      <c r="E263" s="63">
        <v>43004</v>
      </c>
      <c r="F263" s="61">
        <v>0.46414</v>
      </c>
      <c r="G263" s="63">
        <v>43004</v>
      </c>
      <c r="H263" s="61">
        <v>0.50580666666666663</v>
      </c>
      <c r="I263" s="55">
        <v>30</v>
      </c>
      <c r="J263" s="56" t="s">
        <v>232</v>
      </c>
      <c r="K263" s="75" t="s">
        <v>228</v>
      </c>
      <c r="L263" s="70">
        <v>0</v>
      </c>
    </row>
    <row r="264" spans="1:12" ht="15" customHeight="1">
      <c r="A264" s="53" t="s">
        <v>220</v>
      </c>
      <c r="B264" s="53" t="s">
        <v>77</v>
      </c>
      <c r="C264" s="54">
        <f t="shared" si="8"/>
        <v>43027.428679999997</v>
      </c>
      <c r="D264" s="54">
        <f t="shared" si="9"/>
        <v>43027.470346666669</v>
      </c>
      <c r="E264" s="63">
        <v>43027</v>
      </c>
      <c r="F264" s="61">
        <v>0.42868000000000001</v>
      </c>
      <c r="G264" s="63">
        <v>43027</v>
      </c>
      <c r="H264" s="61">
        <v>0.47034666666666669</v>
      </c>
      <c r="I264" s="55">
        <v>30</v>
      </c>
      <c r="J264" s="56" t="s">
        <v>227</v>
      </c>
      <c r="K264" s="75" t="s">
        <v>228</v>
      </c>
      <c r="L264" s="70">
        <v>0</v>
      </c>
    </row>
    <row r="265" spans="1:12" ht="15" customHeight="1">
      <c r="A265" s="53" t="s">
        <v>220</v>
      </c>
      <c r="B265" s="53" t="s">
        <v>78</v>
      </c>
      <c r="C265" s="54">
        <f t="shared" si="8"/>
        <v>42953.665489999999</v>
      </c>
      <c r="D265" s="54">
        <f t="shared" si="9"/>
        <v>42953.707156666664</v>
      </c>
      <c r="E265" s="63">
        <v>42953</v>
      </c>
      <c r="F265" s="61">
        <v>0.66549000000000003</v>
      </c>
      <c r="G265" s="63">
        <v>42953</v>
      </c>
      <c r="H265" s="61">
        <v>0.70715666666666666</v>
      </c>
      <c r="I265" s="55">
        <v>30</v>
      </c>
      <c r="J265" s="56" t="s">
        <v>232</v>
      </c>
      <c r="K265" s="75" t="s">
        <v>230</v>
      </c>
      <c r="L265" s="70">
        <v>0</v>
      </c>
    </row>
    <row r="266" spans="1:12" ht="15" customHeight="1">
      <c r="A266" s="53" t="s">
        <v>220</v>
      </c>
      <c r="B266" s="53" t="s">
        <v>79</v>
      </c>
      <c r="C266" s="54">
        <f t="shared" si="8"/>
        <v>42788.316769999998</v>
      </c>
      <c r="D266" s="54">
        <f t="shared" si="9"/>
        <v>42788.358436666669</v>
      </c>
      <c r="E266" s="63">
        <v>42788</v>
      </c>
      <c r="F266" s="61">
        <v>0.31677</v>
      </c>
      <c r="G266" s="63">
        <v>42788</v>
      </c>
      <c r="H266" s="61">
        <v>0.35843666666666668</v>
      </c>
      <c r="I266" s="55">
        <v>30</v>
      </c>
      <c r="J266" s="56" t="s">
        <v>229</v>
      </c>
      <c r="K266" s="75" t="s">
        <v>231</v>
      </c>
      <c r="L266" s="70">
        <v>0</v>
      </c>
    </row>
    <row r="267" spans="1:12" ht="15" customHeight="1">
      <c r="A267" s="53" t="s">
        <v>220</v>
      </c>
      <c r="B267" s="53" t="s">
        <v>80</v>
      </c>
      <c r="C267" s="54">
        <f t="shared" si="8"/>
        <v>42896.730730000003</v>
      </c>
      <c r="D267" s="54">
        <f t="shared" si="9"/>
        <v>42896.772396666667</v>
      </c>
      <c r="E267" s="63">
        <v>42896</v>
      </c>
      <c r="F267" s="61">
        <v>0.73072999999999999</v>
      </c>
      <c r="G267" s="63">
        <v>42896</v>
      </c>
      <c r="H267" s="61">
        <v>0.77239666666666662</v>
      </c>
      <c r="I267" s="55">
        <v>30</v>
      </c>
      <c r="J267" s="56" t="s">
        <v>229</v>
      </c>
      <c r="K267" s="75" t="s">
        <v>230</v>
      </c>
      <c r="L267" s="70">
        <v>0</v>
      </c>
    </row>
    <row r="268" spans="1:12" ht="15" customHeight="1">
      <c r="A268" s="53" t="s">
        <v>220</v>
      </c>
      <c r="B268" s="53" t="s">
        <v>81</v>
      </c>
      <c r="C268" s="54">
        <f t="shared" si="8"/>
        <v>42989.601040000001</v>
      </c>
      <c r="D268" s="54">
        <f t="shared" si="9"/>
        <v>42989.642706666666</v>
      </c>
      <c r="E268" s="63">
        <v>42989</v>
      </c>
      <c r="F268" s="61">
        <v>0.60104000000000002</v>
      </c>
      <c r="G268" s="63">
        <v>42989</v>
      </c>
      <c r="H268" s="61">
        <v>0.64270666666666665</v>
      </c>
      <c r="I268" s="55">
        <v>30</v>
      </c>
      <c r="J268" s="56" t="s">
        <v>232</v>
      </c>
      <c r="K268" s="75" t="s">
        <v>228</v>
      </c>
      <c r="L268" s="70">
        <v>0</v>
      </c>
    </row>
    <row r="269" spans="1:12" ht="15" customHeight="1">
      <c r="A269" s="53" t="s">
        <v>220</v>
      </c>
      <c r="B269" s="53" t="s">
        <v>82</v>
      </c>
      <c r="C269" s="54">
        <f t="shared" si="8"/>
        <v>42962.404119999999</v>
      </c>
      <c r="D269" s="54">
        <f t="shared" si="9"/>
        <v>42962.445786666663</v>
      </c>
      <c r="E269" s="63">
        <v>42962</v>
      </c>
      <c r="F269" s="61">
        <v>0.40411999999999998</v>
      </c>
      <c r="G269" s="63">
        <v>42962</v>
      </c>
      <c r="H269" s="61">
        <v>0.44578666666666666</v>
      </c>
      <c r="I269" s="55">
        <v>30</v>
      </c>
      <c r="J269" s="56" t="s">
        <v>227</v>
      </c>
      <c r="K269" s="75" t="s">
        <v>228</v>
      </c>
      <c r="L269" s="70">
        <v>0</v>
      </c>
    </row>
    <row r="270" spans="1:12" ht="15" customHeight="1">
      <c r="A270" s="53" t="s">
        <v>220</v>
      </c>
      <c r="B270" s="53" t="s">
        <v>83</v>
      </c>
      <c r="C270" s="54">
        <f t="shared" si="8"/>
        <v>42953.390079999997</v>
      </c>
      <c r="D270" s="54">
        <f t="shared" si="9"/>
        <v>42953.431746666669</v>
      </c>
      <c r="E270" s="63">
        <v>42953</v>
      </c>
      <c r="F270" s="61">
        <v>0.39007999999999998</v>
      </c>
      <c r="G270" s="63">
        <v>42953</v>
      </c>
      <c r="H270" s="61">
        <v>0.43174666666666667</v>
      </c>
      <c r="I270" s="55">
        <v>30</v>
      </c>
      <c r="J270" s="56" t="s">
        <v>227</v>
      </c>
      <c r="K270" s="75" t="s">
        <v>231</v>
      </c>
      <c r="L270" s="70">
        <v>0</v>
      </c>
    </row>
    <row r="271" spans="1:12" ht="15" customHeight="1">
      <c r="A271" s="53" t="s">
        <v>220</v>
      </c>
      <c r="B271" s="53" t="s">
        <v>84</v>
      </c>
      <c r="C271" s="54">
        <f t="shared" si="8"/>
        <v>42946.322039999999</v>
      </c>
      <c r="D271" s="54">
        <f t="shared" si="9"/>
        <v>42946.363706666663</v>
      </c>
      <c r="E271" s="63">
        <v>42946</v>
      </c>
      <c r="F271" s="61">
        <v>0.32203999999999999</v>
      </c>
      <c r="G271" s="63">
        <v>42946</v>
      </c>
      <c r="H271" s="61">
        <v>0.36370666666666668</v>
      </c>
      <c r="I271" s="55">
        <v>30</v>
      </c>
      <c r="J271" s="56" t="s">
        <v>229</v>
      </c>
      <c r="K271" s="75" t="s">
        <v>230</v>
      </c>
      <c r="L271" s="70">
        <v>0</v>
      </c>
    </row>
    <row r="272" spans="1:12" ht="15" customHeight="1">
      <c r="A272" s="53" t="s">
        <v>220</v>
      </c>
      <c r="B272" s="53" t="s">
        <v>85</v>
      </c>
      <c r="C272" s="54">
        <f t="shared" si="8"/>
        <v>42835.604800000001</v>
      </c>
      <c r="D272" s="54">
        <f t="shared" si="9"/>
        <v>42835.646466666665</v>
      </c>
      <c r="E272" s="63">
        <v>42835</v>
      </c>
      <c r="F272" s="61">
        <v>0.6048</v>
      </c>
      <c r="G272" s="63">
        <v>42835</v>
      </c>
      <c r="H272" s="61">
        <v>0.64646666666666663</v>
      </c>
      <c r="I272" s="55">
        <v>30</v>
      </c>
      <c r="J272" s="56" t="s">
        <v>232</v>
      </c>
      <c r="K272" s="75" t="s">
        <v>230</v>
      </c>
      <c r="L272" s="70">
        <v>0</v>
      </c>
    </row>
    <row r="273" spans="1:12" ht="15" customHeight="1">
      <c r="A273" s="53" t="s">
        <v>220</v>
      </c>
      <c r="B273" s="53" t="s">
        <v>86</v>
      </c>
      <c r="C273" s="54">
        <f t="shared" si="8"/>
        <v>42803.69829</v>
      </c>
      <c r="D273" s="54">
        <f t="shared" si="9"/>
        <v>42803.739956666665</v>
      </c>
      <c r="E273" s="63">
        <v>42803</v>
      </c>
      <c r="F273" s="61">
        <v>0.69828999999999997</v>
      </c>
      <c r="G273" s="63">
        <v>42803</v>
      </c>
      <c r="H273" s="61">
        <v>0.7399566666666666</v>
      </c>
      <c r="I273" s="55">
        <v>30</v>
      </c>
      <c r="J273" s="56" t="s">
        <v>232</v>
      </c>
      <c r="K273" s="75" t="s">
        <v>230</v>
      </c>
      <c r="L273" s="70">
        <v>0</v>
      </c>
    </row>
    <row r="274" spans="1:12" ht="15" customHeight="1">
      <c r="A274" s="53" t="s">
        <v>220</v>
      </c>
      <c r="B274" s="53" t="s">
        <v>87</v>
      </c>
      <c r="C274" s="54">
        <f t="shared" si="8"/>
        <v>43040.388550000003</v>
      </c>
      <c r="D274" s="54">
        <f t="shared" si="9"/>
        <v>43040.430216666668</v>
      </c>
      <c r="E274" s="63">
        <v>43040</v>
      </c>
      <c r="F274" s="61">
        <v>0.38855000000000001</v>
      </c>
      <c r="G274" s="63">
        <v>43040</v>
      </c>
      <c r="H274" s="61">
        <v>0.43021666666666669</v>
      </c>
      <c r="I274" s="55">
        <v>30</v>
      </c>
      <c r="J274" s="56" t="s">
        <v>229</v>
      </c>
      <c r="K274" s="75" t="s">
        <v>228</v>
      </c>
      <c r="L274" s="70">
        <v>0</v>
      </c>
    </row>
    <row r="275" spans="1:12" ht="15" customHeight="1">
      <c r="A275" s="53" t="s">
        <v>220</v>
      </c>
      <c r="B275" s="53" t="s">
        <v>88</v>
      </c>
      <c r="C275" s="54">
        <f t="shared" si="8"/>
        <v>42789.555610000003</v>
      </c>
      <c r="D275" s="54">
        <f t="shared" si="9"/>
        <v>42789.597276666667</v>
      </c>
      <c r="E275" s="63">
        <v>42789</v>
      </c>
      <c r="F275" s="61">
        <v>0.55561000000000005</v>
      </c>
      <c r="G275" s="63">
        <v>42789</v>
      </c>
      <c r="H275" s="61">
        <v>0.59727666666666668</v>
      </c>
      <c r="I275" s="55">
        <v>30</v>
      </c>
      <c r="J275" s="56" t="s">
        <v>229</v>
      </c>
      <c r="K275" s="75" t="s">
        <v>230</v>
      </c>
      <c r="L275" s="70">
        <v>0</v>
      </c>
    </row>
    <row r="276" spans="1:12" ht="15" customHeight="1">
      <c r="A276" s="53" t="s">
        <v>220</v>
      </c>
      <c r="B276" s="53" t="s">
        <v>89</v>
      </c>
      <c r="C276" s="54">
        <f t="shared" si="8"/>
        <v>42825.75245</v>
      </c>
      <c r="D276" s="54">
        <f t="shared" si="9"/>
        <v>42825.794116666664</v>
      </c>
      <c r="E276" s="63">
        <v>42825</v>
      </c>
      <c r="F276" s="61">
        <v>0.75244999999999995</v>
      </c>
      <c r="G276" s="63">
        <v>42825</v>
      </c>
      <c r="H276" s="61">
        <v>0.79411666666666658</v>
      </c>
      <c r="I276" s="55">
        <v>30</v>
      </c>
      <c r="J276" s="56" t="s">
        <v>229</v>
      </c>
      <c r="K276" s="75" t="s">
        <v>228</v>
      </c>
      <c r="L276" s="70">
        <v>0</v>
      </c>
    </row>
    <row r="277" spans="1:12" ht="15" customHeight="1">
      <c r="A277" s="53" t="s">
        <v>220</v>
      </c>
      <c r="B277" s="53" t="s">
        <v>90</v>
      </c>
      <c r="C277" s="54">
        <f t="shared" si="8"/>
        <v>42801.542479999996</v>
      </c>
      <c r="D277" s="54">
        <f t="shared" si="9"/>
        <v>42801.584146666668</v>
      </c>
      <c r="E277" s="63">
        <v>42801</v>
      </c>
      <c r="F277" s="61">
        <v>0.54247999999999996</v>
      </c>
      <c r="G277" s="63">
        <v>42801</v>
      </c>
      <c r="H277" s="61">
        <v>0.58414666666666659</v>
      </c>
      <c r="I277" s="55">
        <v>30</v>
      </c>
      <c r="J277" s="56" t="s">
        <v>227</v>
      </c>
      <c r="K277" s="75" t="s">
        <v>228</v>
      </c>
      <c r="L277" s="70">
        <v>0</v>
      </c>
    </row>
    <row r="278" spans="1:12" ht="15" customHeight="1">
      <c r="A278" s="53" t="s">
        <v>220</v>
      </c>
      <c r="B278" s="53" t="s">
        <v>91</v>
      </c>
      <c r="C278" s="54">
        <f t="shared" si="8"/>
        <v>43067.651449999998</v>
      </c>
      <c r="D278" s="54">
        <f t="shared" si="9"/>
        <v>43067.693116666669</v>
      </c>
      <c r="E278" s="63">
        <v>43067</v>
      </c>
      <c r="F278" s="61">
        <v>0.65144999999999997</v>
      </c>
      <c r="G278" s="63">
        <v>43067</v>
      </c>
      <c r="H278" s="61">
        <v>0.6931166666666666</v>
      </c>
      <c r="I278" s="55">
        <v>30</v>
      </c>
      <c r="J278" s="56" t="s">
        <v>232</v>
      </c>
      <c r="K278" s="75" t="s">
        <v>231</v>
      </c>
      <c r="L278" s="70">
        <v>0</v>
      </c>
    </row>
    <row r="279" spans="1:12" ht="15" customHeight="1">
      <c r="A279" s="53" t="s">
        <v>220</v>
      </c>
      <c r="B279" s="53" t="s">
        <v>92</v>
      </c>
      <c r="C279" s="54">
        <f t="shared" si="8"/>
        <v>42786.580860000002</v>
      </c>
      <c r="D279" s="54">
        <f t="shared" si="9"/>
        <v>42786.622526666666</v>
      </c>
      <c r="E279" s="63">
        <v>42786</v>
      </c>
      <c r="F279" s="61">
        <v>0.58086000000000004</v>
      </c>
      <c r="G279" s="63">
        <v>42786</v>
      </c>
      <c r="H279" s="61">
        <v>0.62252666666666667</v>
      </c>
      <c r="I279" s="55">
        <v>30</v>
      </c>
      <c r="J279" s="56" t="s">
        <v>227</v>
      </c>
      <c r="K279" s="75" t="s">
        <v>230</v>
      </c>
      <c r="L279" s="70">
        <v>0</v>
      </c>
    </row>
    <row r="280" spans="1:12" ht="15" customHeight="1">
      <c r="A280" s="53" t="s">
        <v>220</v>
      </c>
      <c r="B280" s="53" t="s">
        <v>93</v>
      </c>
      <c r="C280" s="54">
        <f t="shared" si="8"/>
        <v>43006.422259999999</v>
      </c>
      <c r="D280" s="54">
        <f t="shared" si="9"/>
        <v>43006.463926666664</v>
      </c>
      <c r="E280" s="63">
        <v>43006</v>
      </c>
      <c r="F280" s="61">
        <v>0.42226000000000002</v>
      </c>
      <c r="G280" s="63">
        <v>43006</v>
      </c>
      <c r="H280" s="61">
        <v>0.46392666666666671</v>
      </c>
      <c r="I280" s="55">
        <v>30</v>
      </c>
      <c r="J280" s="56" t="s">
        <v>227</v>
      </c>
      <c r="K280" s="75" t="s">
        <v>231</v>
      </c>
      <c r="L280" s="70">
        <v>0</v>
      </c>
    </row>
    <row r="281" spans="1:12" ht="15" customHeight="1">
      <c r="A281" s="53" t="s">
        <v>220</v>
      </c>
      <c r="B281" s="53" t="s">
        <v>94</v>
      </c>
      <c r="C281" s="54">
        <f t="shared" si="8"/>
        <v>42842.667200000004</v>
      </c>
      <c r="D281" s="54">
        <f t="shared" si="9"/>
        <v>42842.708866666668</v>
      </c>
      <c r="E281" s="63">
        <v>42842</v>
      </c>
      <c r="F281" s="61">
        <v>0.66720000000000002</v>
      </c>
      <c r="G281" s="63">
        <v>42842</v>
      </c>
      <c r="H281" s="61">
        <v>0.70886666666666664</v>
      </c>
      <c r="I281" s="55">
        <v>30</v>
      </c>
      <c r="J281" s="56" t="s">
        <v>232</v>
      </c>
      <c r="K281" s="75" t="s">
        <v>230</v>
      </c>
      <c r="L281" s="70">
        <v>0</v>
      </c>
    </row>
    <row r="282" spans="1:12" ht="15" customHeight="1">
      <c r="A282" s="53" t="s">
        <v>220</v>
      </c>
      <c r="B282" s="53" t="s">
        <v>95</v>
      </c>
      <c r="C282" s="54">
        <f t="shared" si="8"/>
        <v>42893.589319999999</v>
      </c>
      <c r="D282" s="54">
        <f t="shared" si="9"/>
        <v>42893.630986666663</v>
      </c>
      <c r="E282" s="63">
        <v>42893</v>
      </c>
      <c r="F282" s="61">
        <v>0.58931999999999995</v>
      </c>
      <c r="G282" s="63">
        <v>42893</v>
      </c>
      <c r="H282" s="61">
        <v>0.63098666666666658</v>
      </c>
      <c r="I282" s="55">
        <v>30</v>
      </c>
      <c r="J282" s="56" t="s">
        <v>232</v>
      </c>
      <c r="K282" s="75" t="s">
        <v>231</v>
      </c>
      <c r="L282" s="70">
        <v>0</v>
      </c>
    </row>
    <row r="283" spans="1:12" ht="15" customHeight="1">
      <c r="A283" s="53" t="s">
        <v>220</v>
      </c>
      <c r="B283" s="53" t="s">
        <v>96</v>
      </c>
      <c r="C283" s="54">
        <f t="shared" si="8"/>
        <v>42976.642140000004</v>
      </c>
      <c r="D283" s="54">
        <f t="shared" si="9"/>
        <v>42976.683806666668</v>
      </c>
      <c r="E283" s="63">
        <v>42976</v>
      </c>
      <c r="F283" s="61">
        <v>0.64214000000000004</v>
      </c>
      <c r="G283" s="63">
        <v>42976</v>
      </c>
      <c r="H283" s="61">
        <v>0.68380666666666667</v>
      </c>
      <c r="I283" s="55">
        <v>30</v>
      </c>
      <c r="J283" s="56" t="s">
        <v>232</v>
      </c>
      <c r="K283" s="75" t="s">
        <v>228</v>
      </c>
      <c r="L283" s="70">
        <v>0</v>
      </c>
    </row>
    <row r="284" spans="1:12" ht="15" customHeight="1">
      <c r="A284" s="53" t="s">
        <v>220</v>
      </c>
      <c r="B284" s="53" t="s">
        <v>97</v>
      </c>
      <c r="C284" s="54">
        <f t="shared" si="8"/>
        <v>43063.654640000001</v>
      </c>
      <c r="D284" s="54">
        <f t="shared" si="9"/>
        <v>43063.696306666665</v>
      </c>
      <c r="E284" s="63">
        <v>43063</v>
      </c>
      <c r="F284" s="61">
        <v>0.65464</v>
      </c>
      <c r="G284" s="63">
        <v>43063</v>
      </c>
      <c r="H284" s="61">
        <v>0.69630666666666663</v>
      </c>
      <c r="I284" s="55">
        <v>30</v>
      </c>
      <c r="J284" s="56" t="s">
        <v>229</v>
      </c>
      <c r="K284" s="75" t="s">
        <v>231</v>
      </c>
      <c r="L284" s="70">
        <v>0</v>
      </c>
    </row>
    <row r="285" spans="1:12" ht="15" customHeight="1">
      <c r="A285" s="53" t="s">
        <v>220</v>
      </c>
      <c r="B285" s="53" t="s">
        <v>98</v>
      </c>
      <c r="C285" s="54">
        <f t="shared" si="8"/>
        <v>43038.692159999999</v>
      </c>
      <c r="D285" s="54">
        <f t="shared" si="9"/>
        <v>43038.73382666667</v>
      </c>
      <c r="E285" s="63">
        <v>43038</v>
      </c>
      <c r="F285" s="61">
        <v>0.69216</v>
      </c>
      <c r="G285" s="63">
        <v>43038</v>
      </c>
      <c r="H285" s="61">
        <v>0.73382666666666663</v>
      </c>
      <c r="I285" s="55">
        <v>30</v>
      </c>
      <c r="J285" s="56" t="s">
        <v>227</v>
      </c>
      <c r="K285" s="75" t="s">
        <v>231</v>
      </c>
      <c r="L285" s="70">
        <v>0</v>
      </c>
    </row>
    <row r="286" spans="1:12" ht="15" customHeight="1">
      <c r="A286" s="53" t="s">
        <v>220</v>
      </c>
      <c r="B286" s="53" t="s">
        <v>99</v>
      </c>
      <c r="C286" s="54">
        <f t="shared" si="8"/>
        <v>42881.50318</v>
      </c>
      <c r="D286" s="54">
        <f t="shared" si="9"/>
        <v>42881.544846666664</v>
      </c>
      <c r="E286" s="63">
        <v>42881</v>
      </c>
      <c r="F286" s="61">
        <v>0.50317999999999996</v>
      </c>
      <c r="G286" s="63">
        <v>42881</v>
      </c>
      <c r="H286" s="61">
        <v>0.54484666666666659</v>
      </c>
      <c r="I286" s="55">
        <v>30</v>
      </c>
      <c r="J286" s="56" t="s">
        <v>232</v>
      </c>
      <c r="K286" s="75" t="s">
        <v>228</v>
      </c>
      <c r="L286" s="70">
        <v>0</v>
      </c>
    </row>
    <row r="287" spans="1:12" ht="15" customHeight="1">
      <c r="A287" s="53" t="s">
        <v>220</v>
      </c>
      <c r="B287" s="53" t="s">
        <v>100</v>
      </c>
      <c r="C287" s="54">
        <f t="shared" si="8"/>
        <v>42885.698190000003</v>
      </c>
      <c r="D287" s="54">
        <f t="shared" si="9"/>
        <v>42885.739856666667</v>
      </c>
      <c r="E287" s="63">
        <v>42885</v>
      </c>
      <c r="F287" s="61">
        <v>0.69818999999999998</v>
      </c>
      <c r="G287" s="63">
        <v>42885</v>
      </c>
      <c r="H287" s="61">
        <v>0.73985666666666661</v>
      </c>
      <c r="I287" s="55">
        <v>30</v>
      </c>
      <c r="J287" s="56" t="s">
        <v>229</v>
      </c>
      <c r="K287" s="75" t="s">
        <v>228</v>
      </c>
      <c r="L287" s="70">
        <v>0</v>
      </c>
    </row>
    <row r="288" spans="1:12" ht="15" customHeight="1">
      <c r="A288" s="53" t="s">
        <v>220</v>
      </c>
      <c r="B288" s="53" t="s">
        <v>101</v>
      </c>
      <c r="C288" s="54">
        <f t="shared" si="8"/>
        <v>42801.392540000001</v>
      </c>
      <c r="D288" s="54">
        <f t="shared" si="9"/>
        <v>42801.434206666665</v>
      </c>
      <c r="E288" s="63">
        <v>42801</v>
      </c>
      <c r="F288" s="61">
        <v>0.39254</v>
      </c>
      <c r="G288" s="63">
        <v>42801</v>
      </c>
      <c r="H288" s="61">
        <v>0.43420666666666669</v>
      </c>
      <c r="I288" s="55">
        <v>30</v>
      </c>
      <c r="J288" s="56" t="s">
        <v>232</v>
      </c>
      <c r="K288" s="75" t="s">
        <v>230</v>
      </c>
      <c r="L288" s="70">
        <v>0</v>
      </c>
    </row>
    <row r="289" spans="1:12" ht="15" customHeight="1">
      <c r="A289" s="53" t="s">
        <v>220</v>
      </c>
      <c r="B289" s="53" t="s">
        <v>102</v>
      </c>
      <c r="C289" s="54">
        <f t="shared" si="8"/>
        <v>43069.706460000001</v>
      </c>
      <c r="D289" s="54">
        <f t="shared" si="9"/>
        <v>43069.748126666665</v>
      </c>
      <c r="E289" s="63">
        <v>43069</v>
      </c>
      <c r="F289" s="61">
        <v>0.70645999999999998</v>
      </c>
      <c r="G289" s="63">
        <v>43069</v>
      </c>
      <c r="H289" s="61">
        <v>0.74812666666666661</v>
      </c>
      <c r="I289" s="55">
        <v>30</v>
      </c>
      <c r="J289" s="56" t="s">
        <v>229</v>
      </c>
      <c r="K289" s="75" t="s">
        <v>231</v>
      </c>
      <c r="L289" s="70">
        <v>0</v>
      </c>
    </row>
    <row r="290" spans="1:12" ht="15" customHeight="1">
      <c r="A290" s="53" t="s">
        <v>220</v>
      </c>
      <c r="B290" s="53" t="s">
        <v>103</v>
      </c>
      <c r="C290" s="54">
        <f t="shared" si="8"/>
        <v>42879.370990000003</v>
      </c>
      <c r="D290" s="54">
        <f t="shared" si="9"/>
        <v>42879.412656666667</v>
      </c>
      <c r="E290" s="63">
        <v>42879</v>
      </c>
      <c r="F290" s="61">
        <v>0.37098999999999999</v>
      </c>
      <c r="G290" s="63">
        <v>42879</v>
      </c>
      <c r="H290" s="61">
        <v>0.41265666666666667</v>
      </c>
      <c r="I290" s="55">
        <v>30</v>
      </c>
      <c r="J290" s="56" t="s">
        <v>229</v>
      </c>
      <c r="K290" s="75" t="s">
        <v>231</v>
      </c>
      <c r="L290" s="70">
        <v>0</v>
      </c>
    </row>
    <row r="291" spans="1:12" ht="15" customHeight="1">
      <c r="A291" s="53" t="s">
        <v>220</v>
      </c>
      <c r="B291" s="53" t="s">
        <v>104</v>
      </c>
      <c r="C291" s="54">
        <f t="shared" si="8"/>
        <v>43058.66833</v>
      </c>
      <c r="D291" s="54">
        <f t="shared" si="9"/>
        <v>43058.709996666665</v>
      </c>
      <c r="E291" s="63">
        <v>43058</v>
      </c>
      <c r="F291" s="61">
        <v>0.66832999999999998</v>
      </c>
      <c r="G291" s="63">
        <v>43058</v>
      </c>
      <c r="H291" s="61">
        <v>0.70999666666666661</v>
      </c>
      <c r="I291" s="55">
        <v>30</v>
      </c>
      <c r="J291" s="56" t="s">
        <v>229</v>
      </c>
      <c r="K291" s="75" t="s">
        <v>228</v>
      </c>
      <c r="L291" s="70">
        <v>0</v>
      </c>
    </row>
    <row r="292" spans="1:12" ht="15" customHeight="1">
      <c r="A292" s="53" t="s">
        <v>220</v>
      </c>
      <c r="B292" s="53" t="s">
        <v>105</v>
      </c>
      <c r="C292" s="54">
        <f t="shared" si="8"/>
        <v>42918.669690000002</v>
      </c>
      <c r="D292" s="54">
        <f t="shared" si="9"/>
        <v>42918.711356666667</v>
      </c>
      <c r="E292" s="63">
        <v>42918</v>
      </c>
      <c r="F292" s="61">
        <v>0.66969000000000001</v>
      </c>
      <c r="G292" s="63">
        <v>42918</v>
      </c>
      <c r="H292" s="61">
        <v>0.71135666666666664</v>
      </c>
      <c r="I292" s="55">
        <v>30</v>
      </c>
      <c r="J292" s="56" t="s">
        <v>232</v>
      </c>
      <c r="K292" s="75" t="s">
        <v>228</v>
      </c>
      <c r="L292" s="70">
        <v>0</v>
      </c>
    </row>
    <row r="293" spans="1:12" ht="15" customHeight="1">
      <c r="A293" s="53" t="s">
        <v>220</v>
      </c>
      <c r="B293" s="53" t="s">
        <v>106</v>
      </c>
      <c r="C293" s="54">
        <f t="shared" si="8"/>
        <v>43009.448100000001</v>
      </c>
      <c r="D293" s="54">
        <f t="shared" si="9"/>
        <v>43009.489766666666</v>
      </c>
      <c r="E293" s="63">
        <v>43009</v>
      </c>
      <c r="F293" s="61">
        <v>0.4481</v>
      </c>
      <c r="G293" s="63">
        <v>43009</v>
      </c>
      <c r="H293" s="61">
        <v>0.48976666666666668</v>
      </c>
      <c r="I293" s="55">
        <v>30</v>
      </c>
      <c r="J293" s="56" t="s">
        <v>227</v>
      </c>
      <c r="K293" s="75" t="s">
        <v>231</v>
      </c>
      <c r="L293" s="70">
        <v>0</v>
      </c>
    </row>
    <row r="294" spans="1:12" ht="15" customHeight="1">
      <c r="A294" s="53" t="s">
        <v>220</v>
      </c>
      <c r="B294" s="53" t="s">
        <v>107</v>
      </c>
      <c r="C294" s="54">
        <f t="shared" si="8"/>
        <v>42956.730710000003</v>
      </c>
      <c r="D294" s="54">
        <f t="shared" si="9"/>
        <v>42956.772376666668</v>
      </c>
      <c r="E294" s="63">
        <v>42956</v>
      </c>
      <c r="F294" s="61">
        <v>0.73070999999999997</v>
      </c>
      <c r="G294" s="63">
        <v>42956</v>
      </c>
      <c r="H294" s="61">
        <v>0.7723766666666666</v>
      </c>
      <c r="I294" s="55">
        <v>30</v>
      </c>
      <c r="J294" s="56" t="s">
        <v>229</v>
      </c>
      <c r="K294" s="75" t="s">
        <v>228</v>
      </c>
      <c r="L294" s="70">
        <v>0</v>
      </c>
    </row>
    <row r="295" spans="1:12" ht="15" customHeight="1">
      <c r="A295" s="53" t="s">
        <v>220</v>
      </c>
      <c r="B295" s="53" t="s">
        <v>108</v>
      </c>
      <c r="C295" s="54">
        <f t="shared" si="8"/>
        <v>42853.6754</v>
      </c>
      <c r="D295" s="54">
        <f t="shared" si="9"/>
        <v>42853.717066666664</v>
      </c>
      <c r="E295" s="63">
        <v>42853</v>
      </c>
      <c r="F295" s="61">
        <v>0.6754</v>
      </c>
      <c r="G295" s="63">
        <v>42853</v>
      </c>
      <c r="H295" s="61">
        <v>0.71706666666666663</v>
      </c>
      <c r="I295" s="55">
        <v>30</v>
      </c>
      <c r="J295" s="56" t="s">
        <v>227</v>
      </c>
      <c r="K295" s="75" t="s">
        <v>230</v>
      </c>
      <c r="L295" s="70">
        <v>0</v>
      </c>
    </row>
    <row r="296" spans="1:12" ht="15" customHeight="1">
      <c r="A296" s="53" t="s">
        <v>220</v>
      </c>
      <c r="B296" s="53" t="s">
        <v>109</v>
      </c>
      <c r="C296" s="54">
        <f t="shared" si="8"/>
        <v>43055.432860000001</v>
      </c>
      <c r="D296" s="54">
        <f t="shared" si="9"/>
        <v>43055.474526666665</v>
      </c>
      <c r="E296" s="63">
        <v>43055</v>
      </c>
      <c r="F296" s="61">
        <v>0.43286000000000002</v>
      </c>
      <c r="G296" s="63">
        <v>43055</v>
      </c>
      <c r="H296" s="61">
        <v>0.47452666666666671</v>
      </c>
      <c r="I296" s="55">
        <v>30</v>
      </c>
      <c r="J296" s="56" t="s">
        <v>232</v>
      </c>
      <c r="K296" s="75" t="s">
        <v>228</v>
      </c>
      <c r="L296" s="70">
        <v>0</v>
      </c>
    </row>
    <row r="297" spans="1:12" ht="15" customHeight="1">
      <c r="A297" s="53" t="s">
        <v>220</v>
      </c>
      <c r="B297" s="53" t="s">
        <v>110</v>
      </c>
      <c r="C297" s="54">
        <f t="shared" si="8"/>
        <v>42917.523639999999</v>
      </c>
      <c r="D297" s="54">
        <f t="shared" si="9"/>
        <v>42917.565306666664</v>
      </c>
      <c r="E297" s="63">
        <v>42917</v>
      </c>
      <c r="F297" s="61">
        <v>0.52363999999999999</v>
      </c>
      <c r="G297" s="63">
        <v>42917</v>
      </c>
      <c r="H297" s="61">
        <v>0.56530666666666662</v>
      </c>
      <c r="I297" s="55">
        <v>30</v>
      </c>
      <c r="J297" s="56" t="s">
        <v>229</v>
      </c>
      <c r="K297" s="75" t="s">
        <v>230</v>
      </c>
      <c r="L297" s="70">
        <v>0</v>
      </c>
    </row>
    <row r="298" spans="1:12" ht="15" customHeight="1">
      <c r="A298" s="53" t="s">
        <v>220</v>
      </c>
      <c r="B298" s="53" t="s">
        <v>111</v>
      </c>
      <c r="C298" s="54">
        <f t="shared" si="8"/>
        <v>42834.427580000003</v>
      </c>
      <c r="D298" s="54">
        <f t="shared" si="9"/>
        <v>42834.469246666667</v>
      </c>
      <c r="E298" s="63">
        <v>42834</v>
      </c>
      <c r="F298" s="61">
        <v>0.42758000000000002</v>
      </c>
      <c r="G298" s="63">
        <v>42834</v>
      </c>
      <c r="H298" s="61">
        <v>0.4692466666666667</v>
      </c>
      <c r="I298" s="55">
        <v>30</v>
      </c>
      <c r="J298" s="56" t="s">
        <v>232</v>
      </c>
      <c r="K298" s="75" t="s">
        <v>230</v>
      </c>
      <c r="L298" s="70">
        <v>0</v>
      </c>
    </row>
    <row r="299" spans="1:12" ht="15" customHeight="1">
      <c r="A299" s="53" t="s">
        <v>220</v>
      </c>
      <c r="B299" s="53" t="s">
        <v>112</v>
      </c>
      <c r="C299" s="54">
        <f t="shared" si="8"/>
        <v>42955.348819999999</v>
      </c>
      <c r="D299" s="54">
        <f t="shared" si="9"/>
        <v>42955.390486666663</v>
      </c>
      <c r="E299" s="63">
        <v>42955</v>
      </c>
      <c r="F299" s="61">
        <v>0.34882000000000002</v>
      </c>
      <c r="G299" s="63">
        <v>42955</v>
      </c>
      <c r="H299" s="61">
        <v>0.3904866666666667</v>
      </c>
      <c r="I299" s="55">
        <v>30</v>
      </c>
      <c r="J299" s="56" t="s">
        <v>227</v>
      </c>
      <c r="K299" s="75" t="s">
        <v>231</v>
      </c>
      <c r="L299" s="70">
        <v>0</v>
      </c>
    </row>
    <row r="300" spans="1:12" ht="15" customHeight="1">
      <c r="A300" s="53" t="s">
        <v>220</v>
      </c>
      <c r="B300" s="53" t="s">
        <v>113</v>
      </c>
      <c r="C300" s="54">
        <f t="shared" si="8"/>
        <v>42764.467380000002</v>
      </c>
      <c r="D300" s="54">
        <f t="shared" si="9"/>
        <v>42764.509046666666</v>
      </c>
      <c r="E300" s="63">
        <v>42764</v>
      </c>
      <c r="F300" s="61">
        <v>0.46738000000000002</v>
      </c>
      <c r="G300" s="63">
        <v>42764</v>
      </c>
      <c r="H300" s="61">
        <v>0.50904666666666665</v>
      </c>
      <c r="I300" s="55">
        <v>30</v>
      </c>
      <c r="J300" s="56" t="s">
        <v>227</v>
      </c>
      <c r="K300" s="75" t="s">
        <v>231</v>
      </c>
      <c r="L300" s="70">
        <v>0</v>
      </c>
    </row>
    <row r="301" spans="1:12" ht="15" customHeight="1">
      <c r="A301" s="53" t="s">
        <v>220</v>
      </c>
      <c r="B301" s="53" t="s">
        <v>114</v>
      </c>
      <c r="C301" s="54">
        <f t="shared" si="8"/>
        <v>43011.707970000003</v>
      </c>
      <c r="D301" s="54">
        <f t="shared" si="9"/>
        <v>43011.749636666667</v>
      </c>
      <c r="E301" s="63">
        <v>43011</v>
      </c>
      <c r="F301" s="61">
        <v>0.70796999999999999</v>
      </c>
      <c r="G301" s="63">
        <v>43011</v>
      </c>
      <c r="H301" s="61">
        <v>0.74963666666666662</v>
      </c>
      <c r="I301" s="55">
        <v>30</v>
      </c>
      <c r="J301" s="56" t="s">
        <v>227</v>
      </c>
      <c r="K301" s="75" t="s">
        <v>230</v>
      </c>
      <c r="L301" s="70">
        <v>0</v>
      </c>
    </row>
    <row r="302" spans="1:12" ht="15" customHeight="1">
      <c r="A302" s="53" t="s">
        <v>220</v>
      </c>
      <c r="B302" s="53" t="s">
        <v>115</v>
      </c>
      <c r="C302" s="54">
        <f t="shared" si="8"/>
        <v>43100.535550000001</v>
      </c>
      <c r="D302" s="54">
        <f t="shared" si="9"/>
        <v>43100.577216666665</v>
      </c>
      <c r="E302" s="63">
        <v>43100</v>
      </c>
      <c r="F302" s="61">
        <v>0.53554999999999997</v>
      </c>
      <c r="G302" s="63">
        <v>43100</v>
      </c>
      <c r="H302" s="61">
        <v>0.5772166666666666</v>
      </c>
      <c r="I302" s="55">
        <v>30</v>
      </c>
      <c r="J302" s="56" t="s">
        <v>232</v>
      </c>
      <c r="K302" s="75" t="s">
        <v>228</v>
      </c>
      <c r="L302" s="70">
        <v>0</v>
      </c>
    </row>
    <row r="303" spans="1:12" ht="15" customHeight="1">
      <c r="A303" s="53" t="s">
        <v>220</v>
      </c>
      <c r="B303" s="53" t="s">
        <v>116</v>
      </c>
      <c r="C303" s="54">
        <f t="shared" si="8"/>
        <v>42851.341939999998</v>
      </c>
      <c r="D303" s="54">
        <f t="shared" si="9"/>
        <v>42851.38360666667</v>
      </c>
      <c r="E303" s="63">
        <v>42851</v>
      </c>
      <c r="F303" s="61">
        <v>0.34194000000000002</v>
      </c>
      <c r="G303" s="63">
        <v>42851</v>
      </c>
      <c r="H303" s="61">
        <v>0.38360666666666671</v>
      </c>
      <c r="I303" s="55">
        <v>30</v>
      </c>
      <c r="J303" s="56" t="s">
        <v>227</v>
      </c>
      <c r="K303" s="75" t="s">
        <v>228</v>
      </c>
      <c r="L303" s="70">
        <v>0</v>
      </c>
    </row>
    <row r="304" spans="1:12" ht="15" customHeight="1">
      <c r="A304" s="53" t="s">
        <v>220</v>
      </c>
      <c r="B304" s="53" t="s">
        <v>117</v>
      </c>
      <c r="C304" s="54">
        <f t="shared" si="8"/>
        <v>42817.483260000001</v>
      </c>
      <c r="D304" s="54">
        <f t="shared" si="9"/>
        <v>42817.524926666665</v>
      </c>
      <c r="E304" s="63">
        <v>42817</v>
      </c>
      <c r="F304" s="61">
        <v>0.48326000000000002</v>
      </c>
      <c r="G304" s="63">
        <v>42817</v>
      </c>
      <c r="H304" s="61">
        <v>0.52492666666666665</v>
      </c>
      <c r="I304" s="55">
        <v>30</v>
      </c>
      <c r="J304" s="56" t="s">
        <v>229</v>
      </c>
      <c r="K304" s="75" t="s">
        <v>231</v>
      </c>
      <c r="L304" s="70">
        <v>0</v>
      </c>
    </row>
    <row r="305" spans="1:12" ht="15" customHeight="1">
      <c r="A305" s="53" t="s">
        <v>220</v>
      </c>
      <c r="B305" s="53" t="s">
        <v>118</v>
      </c>
      <c r="C305" s="54">
        <f t="shared" si="8"/>
        <v>43032.381930000003</v>
      </c>
      <c r="D305" s="54">
        <f t="shared" si="9"/>
        <v>43032.423596666667</v>
      </c>
      <c r="E305" s="63">
        <v>43032</v>
      </c>
      <c r="F305" s="61">
        <v>0.38192999999999999</v>
      </c>
      <c r="G305" s="63">
        <v>43032</v>
      </c>
      <c r="H305" s="61">
        <v>0.42359666666666668</v>
      </c>
      <c r="I305" s="55">
        <v>30</v>
      </c>
      <c r="J305" s="56" t="s">
        <v>232</v>
      </c>
      <c r="K305" s="75" t="s">
        <v>231</v>
      </c>
      <c r="L305" s="70">
        <v>0</v>
      </c>
    </row>
    <row r="306" spans="1:12" ht="15" customHeight="1">
      <c r="A306" s="53" t="s">
        <v>220</v>
      </c>
      <c r="B306" s="53" t="s">
        <v>119</v>
      </c>
      <c r="C306" s="54">
        <f t="shared" si="8"/>
        <v>42853.416810000002</v>
      </c>
      <c r="D306" s="54">
        <f t="shared" si="9"/>
        <v>42853.458476666667</v>
      </c>
      <c r="E306" s="63">
        <v>42853</v>
      </c>
      <c r="F306" s="61">
        <v>0.41681000000000001</v>
      </c>
      <c r="G306" s="63">
        <v>42853</v>
      </c>
      <c r="H306" s="61">
        <v>0.4584766666666667</v>
      </c>
      <c r="I306" s="55">
        <v>30</v>
      </c>
      <c r="J306" s="56" t="s">
        <v>232</v>
      </c>
      <c r="K306" s="75" t="s">
        <v>230</v>
      </c>
      <c r="L306" s="70">
        <v>0</v>
      </c>
    </row>
    <row r="307" spans="1:12" ht="15" customHeight="1">
      <c r="A307" s="53" t="s">
        <v>220</v>
      </c>
      <c r="B307" s="53" t="s">
        <v>120</v>
      </c>
      <c r="C307" s="54">
        <f t="shared" si="8"/>
        <v>42829.408239999997</v>
      </c>
      <c r="D307" s="54">
        <f t="shared" si="9"/>
        <v>42829.449906666669</v>
      </c>
      <c r="E307" s="63">
        <v>42829</v>
      </c>
      <c r="F307" s="61">
        <v>0.40823999999999999</v>
      </c>
      <c r="G307" s="63">
        <v>42829</v>
      </c>
      <c r="H307" s="61">
        <v>0.44990666666666668</v>
      </c>
      <c r="I307" s="55">
        <v>30</v>
      </c>
      <c r="J307" s="56" t="s">
        <v>229</v>
      </c>
      <c r="K307" s="75" t="s">
        <v>230</v>
      </c>
      <c r="L307" s="70">
        <v>0</v>
      </c>
    </row>
    <row r="308" spans="1:12" ht="15" customHeight="1">
      <c r="A308" s="53" t="s">
        <v>220</v>
      </c>
      <c r="B308" s="53" t="s">
        <v>121</v>
      </c>
      <c r="C308" s="54">
        <f t="shared" si="8"/>
        <v>42768.479099999997</v>
      </c>
      <c r="D308" s="54">
        <f t="shared" si="9"/>
        <v>42768.520766666668</v>
      </c>
      <c r="E308" s="63">
        <v>42768</v>
      </c>
      <c r="F308" s="61">
        <v>0.47910000000000003</v>
      </c>
      <c r="G308" s="63">
        <v>42768</v>
      </c>
      <c r="H308" s="61">
        <v>0.52076666666666671</v>
      </c>
      <c r="I308" s="55">
        <v>30</v>
      </c>
      <c r="J308" s="56" t="s">
        <v>232</v>
      </c>
      <c r="K308" s="75" t="s">
        <v>228</v>
      </c>
      <c r="L308" s="70">
        <v>0</v>
      </c>
    </row>
    <row r="309" spans="1:12" ht="15" customHeight="1">
      <c r="A309" s="53" t="s">
        <v>220</v>
      </c>
      <c r="B309" s="53" t="s">
        <v>122</v>
      </c>
      <c r="C309" s="54">
        <f t="shared" si="8"/>
        <v>43073.74927</v>
      </c>
      <c r="D309" s="54">
        <f t="shared" si="9"/>
        <v>43073.790936666664</v>
      </c>
      <c r="E309" s="63">
        <v>43073</v>
      </c>
      <c r="F309" s="61">
        <v>0.74926999999999999</v>
      </c>
      <c r="G309" s="63">
        <v>43073</v>
      </c>
      <c r="H309" s="61">
        <v>0.79093666666666662</v>
      </c>
      <c r="I309" s="55">
        <v>30</v>
      </c>
      <c r="J309" s="56" t="s">
        <v>229</v>
      </c>
      <c r="K309" s="75" t="s">
        <v>228</v>
      </c>
      <c r="L309" s="70">
        <v>0</v>
      </c>
    </row>
    <row r="310" spans="1:12" ht="15" customHeight="1">
      <c r="A310" s="53" t="s">
        <v>220</v>
      </c>
      <c r="B310" s="53" t="s">
        <v>123</v>
      </c>
      <c r="C310" s="54">
        <f t="shared" si="8"/>
        <v>42920.518389999997</v>
      </c>
      <c r="D310" s="54">
        <f t="shared" si="9"/>
        <v>42920.560056666669</v>
      </c>
      <c r="E310" s="63">
        <v>42920</v>
      </c>
      <c r="F310" s="61">
        <v>0.51839000000000002</v>
      </c>
      <c r="G310" s="63">
        <v>42920</v>
      </c>
      <c r="H310" s="61">
        <v>0.56005666666666665</v>
      </c>
      <c r="I310" s="55">
        <v>30</v>
      </c>
      <c r="J310" s="56" t="s">
        <v>227</v>
      </c>
      <c r="K310" s="75" t="s">
        <v>231</v>
      </c>
      <c r="L310" s="70">
        <v>0</v>
      </c>
    </row>
    <row r="311" spans="1:12" ht="15" customHeight="1">
      <c r="A311" s="53" t="s">
        <v>220</v>
      </c>
      <c r="B311" s="53" t="s">
        <v>124</v>
      </c>
      <c r="C311" s="54">
        <f t="shared" si="8"/>
        <v>43084.587039999999</v>
      </c>
      <c r="D311" s="54">
        <f t="shared" si="9"/>
        <v>43084.62870666667</v>
      </c>
      <c r="E311" s="63">
        <v>43084</v>
      </c>
      <c r="F311" s="61">
        <v>0.58704000000000001</v>
      </c>
      <c r="G311" s="63">
        <v>43084</v>
      </c>
      <c r="H311" s="61">
        <v>0.62870666666666664</v>
      </c>
      <c r="I311" s="55">
        <v>30</v>
      </c>
      <c r="J311" s="56" t="s">
        <v>229</v>
      </c>
      <c r="K311" s="75" t="s">
        <v>231</v>
      </c>
      <c r="L311" s="70">
        <v>0</v>
      </c>
    </row>
    <row r="312" spans="1:12" ht="15" customHeight="1">
      <c r="A312" s="53" t="s">
        <v>220</v>
      </c>
      <c r="B312" s="53" t="s">
        <v>125</v>
      </c>
      <c r="C312" s="54">
        <f t="shared" si="8"/>
        <v>42802.390240000001</v>
      </c>
      <c r="D312" s="54">
        <f t="shared" si="9"/>
        <v>42802.431906666665</v>
      </c>
      <c r="E312" s="63">
        <v>42802</v>
      </c>
      <c r="F312" s="61">
        <v>0.39023999999999998</v>
      </c>
      <c r="G312" s="63">
        <v>42802</v>
      </c>
      <c r="H312" s="61">
        <v>0.43190666666666666</v>
      </c>
      <c r="I312" s="55">
        <v>30</v>
      </c>
      <c r="J312" s="56" t="s">
        <v>232</v>
      </c>
      <c r="K312" s="75" t="s">
        <v>228</v>
      </c>
      <c r="L312" s="70">
        <v>0</v>
      </c>
    </row>
    <row r="313" spans="1:12" ht="15" customHeight="1">
      <c r="A313" s="53" t="s">
        <v>220</v>
      </c>
      <c r="B313" s="53" t="s">
        <v>126</v>
      </c>
      <c r="C313" s="54">
        <f t="shared" si="8"/>
        <v>43037.346619999997</v>
      </c>
      <c r="D313" s="54">
        <f t="shared" si="9"/>
        <v>43037.388286666668</v>
      </c>
      <c r="E313" s="63">
        <v>43037</v>
      </c>
      <c r="F313" s="61">
        <v>0.34661999999999998</v>
      </c>
      <c r="G313" s="63">
        <v>43037</v>
      </c>
      <c r="H313" s="61">
        <v>0.38828666666666667</v>
      </c>
      <c r="I313" s="55">
        <v>30</v>
      </c>
      <c r="J313" s="56" t="s">
        <v>232</v>
      </c>
      <c r="K313" s="75" t="s">
        <v>231</v>
      </c>
      <c r="L313" s="70">
        <v>0</v>
      </c>
    </row>
    <row r="314" spans="1:12" ht="15" customHeight="1">
      <c r="A314" s="53" t="s">
        <v>220</v>
      </c>
      <c r="B314" s="53" t="s">
        <v>127</v>
      </c>
      <c r="C314" s="54">
        <f t="shared" si="8"/>
        <v>43051.726470000001</v>
      </c>
      <c r="D314" s="54">
        <f t="shared" si="9"/>
        <v>43051.768136666666</v>
      </c>
      <c r="E314" s="63">
        <v>43051</v>
      </c>
      <c r="F314" s="61">
        <v>0.72646999999999995</v>
      </c>
      <c r="G314" s="63">
        <v>43051</v>
      </c>
      <c r="H314" s="61">
        <v>0.76813666666666658</v>
      </c>
      <c r="I314" s="55">
        <v>30</v>
      </c>
      <c r="J314" s="56" t="s">
        <v>229</v>
      </c>
      <c r="K314" s="75" t="s">
        <v>230</v>
      </c>
      <c r="L314" s="70">
        <v>0</v>
      </c>
    </row>
    <row r="315" spans="1:12" ht="15" customHeight="1">
      <c r="A315" s="53" t="s">
        <v>220</v>
      </c>
      <c r="B315" s="53" t="s">
        <v>128</v>
      </c>
      <c r="C315" s="54">
        <f t="shared" si="8"/>
        <v>42837.766839999997</v>
      </c>
      <c r="D315" s="54">
        <f t="shared" si="9"/>
        <v>42837.808506666668</v>
      </c>
      <c r="E315" s="63">
        <v>42837</v>
      </c>
      <c r="F315" s="61">
        <v>0.76683999999999997</v>
      </c>
      <c r="G315" s="63">
        <v>42837</v>
      </c>
      <c r="H315" s="61">
        <v>0.8085066666666666</v>
      </c>
      <c r="I315" s="55">
        <v>30</v>
      </c>
      <c r="J315" s="56" t="s">
        <v>227</v>
      </c>
      <c r="K315" s="75" t="s">
        <v>230</v>
      </c>
      <c r="L315" s="70">
        <v>0</v>
      </c>
    </row>
    <row r="316" spans="1:12" ht="15" customHeight="1">
      <c r="A316" s="53" t="s">
        <v>220</v>
      </c>
      <c r="B316" s="53" t="s">
        <v>129</v>
      </c>
      <c r="C316" s="54">
        <f t="shared" si="8"/>
        <v>42753.708709999999</v>
      </c>
      <c r="D316" s="54">
        <f t="shared" si="9"/>
        <v>42753.750376666663</v>
      </c>
      <c r="E316" s="63">
        <v>42753</v>
      </c>
      <c r="F316" s="61">
        <v>0.70870999999999995</v>
      </c>
      <c r="G316" s="63">
        <v>42753</v>
      </c>
      <c r="H316" s="61">
        <v>0.75037666666666658</v>
      </c>
      <c r="I316" s="55">
        <v>30</v>
      </c>
      <c r="J316" s="56" t="s">
        <v>229</v>
      </c>
      <c r="K316" s="75" t="s">
        <v>230</v>
      </c>
      <c r="L316" s="70">
        <v>0</v>
      </c>
    </row>
    <row r="317" spans="1:12" ht="15" customHeight="1">
      <c r="A317" s="53" t="s">
        <v>220</v>
      </c>
      <c r="B317" s="53" t="s">
        <v>130</v>
      </c>
      <c r="C317" s="54">
        <f t="shared" si="8"/>
        <v>43052.564010000002</v>
      </c>
      <c r="D317" s="54">
        <f t="shared" si="9"/>
        <v>43052.605676666666</v>
      </c>
      <c r="E317" s="63">
        <v>43052</v>
      </c>
      <c r="F317" s="61">
        <v>0.56401000000000001</v>
      </c>
      <c r="G317" s="63">
        <v>43052</v>
      </c>
      <c r="H317" s="61">
        <v>0.60567666666666664</v>
      </c>
      <c r="I317" s="55">
        <v>30</v>
      </c>
      <c r="J317" s="56" t="s">
        <v>227</v>
      </c>
      <c r="K317" s="75" t="s">
        <v>231</v>
      </c>
      <c r="L317" s="70">
        <v>0</v>
      </c>
    </row>
    <row r="318" spans="1:12" ht="15" customHeight="1">
      <c r="A318" s="53" t="s">
        <v>220</v>
      </c>
      <c r="B318" s="53" t="s">
        <v>131</v>
      </c>
      <c r="C318" s="54">
        <f t="shared" si="8"/>
        <v>42822.471969999999</v>
      </c>
      <c r="D318" s="54">
        <f t="shared" si="9"/>
        <v>42822.51363666667</v>
      </c>
      <c r="E318" s="63">
        <v>42822</v>
      </c>
      <c r="F318" s="61">
        <v>0.47197</v>
      </c>
      <c r="G318" s="63">
        <v>42822</v>
      </c>
      <c r="H318" s="61">
        <v>0.51363666666666663</v>
      </c>
      <c r="I318" s="55">
        <v>30</v>
      </c>
      <c r="J318" s="56" t="s">
        <v>232</v>
      </c>
      <c r="K318" s="75" t="s">
        <v>231</v>
      </c>
      <c r="L318" s="70">
        <v>0</v>
      </c>
    </row>
    <row r="319" spans="1:12" ht="15" customHeight="1">
      <c r="A319" s="53" t="s">
        <v>220</v>
      </c>
      <c r="B319" s="53" t="s">
        <v>132</v>
      </c>
      <c r="C319" s="54">
        <f t="shared" si="8"/>
        <v>42769.696649999998</v>
      </c>
      <c r="D319" s="54">
        <f t="shared" si="9"/>
        <v>42769.73831666667</v>
      </c>
      <c r="E319" s="63">
        <v>42769</v>
      </c>
      <c r="F319" s="61">
        <v>0.69664999999999999</v>
      </c>
      <c r="G319" s="63">
        <v>42769</v>
      </c>
      <c r="H319" s="61">
        <v>0.73831666666666662</v>
      </c>
      <c r="I319" s="55">
        <v>30</v>
      </c>
      <c r="J319" s="56" t="s">
        <v>229</v>
      </c>
      <c r="K319" s="75" t="s">
        <v>231</v>
      </c>
      <c r="L319" s="70">
        <v>0</v>
      </c>
    </row>
    <row r="320" spans="1:12" ht="15" customHeight="1">
      <c r="A320" s="53" t="s">
        <v>220</v>
      </c>
      <c r="B320" s="53" t="s">
        <v>133</v>
      </c>
      <c r="C320" s="54">
        <f t="shared" si="8"/>
        <v>42835.63639</v>
      </c>
      <c r="D320" s="54">
        <f t="shared" si="9"/>
        <v>42835.678056666664</v>
      </c>
      <c r="E320" s="63">
        <v>42835</v>
      </c>
      <c r="F320" s="61">
        <v>0.63639000000000001</v>
      </c>
      <c r="G320" s="63">
        <v>42835</v>
      </c>
      <c r="H320" s="61">
        <v>0.67805666666666664</v>
      </c>
      <c r="I320" s="55">
        <v>30</v>
      </c>
      <c r="J320" s="56" t="s">
        <v>232</v>
      </c>
      <c r="K320" s="75" t="s">
        <v>231</v>
      </c>
      <c r="L320" s="70">
        <v>0</v>
      </c>
    </row>
    <row r="321" spans="1:12" ht="15" customHeight="1">
      <c r="A321" s="53" t="s">
        <v>220</v>
      </c>
      <c r="B321" s="53" t="s">
        <v>134</v>
      </c>
      <c r="C321" s="54">
        <f t="shared" si="8"/>
        <v>42998.336139999999</v>
      </c>
      <c r="D321" s="54">
        <f t="shared" si="9"/>
        <v>42998.377806666664</v>
      </c>
      <c r="E321" s="63">
        <v>42998</v>
      </c>
      <c r="F321" s="61">
        <v>0.33613999999999999</v>
      </c>
      <c r="G321" s="63">
        <v>42998</v>
      </c>
      <c r="H321" s="61">
        <v>0.37780666666666668</v>
      </c>
      <c r="I321" s="55">
        <v>30</v>
      </c>
      <c r="J321" s="56" t="s">
        <v>229</v>
      </c>
      <c r="K321" s="75" t="s">
        <v>231</v>
      </c>
      <c r="L321" s="70">
        <v>0</v>
      </c>
    </row>
    <row r="322" spans="1:12" ht="15" customHeight="1">
      <c r="A322" s="53" t="s">
        <v>220</v>
      </c>
      <c r="B322" s="53" t="s">
        <v>135</v>
      </c>
      <c r="C322" s="54">
        <f t="shared" si="8"/>
        <v>42865.602180000002</v>
      </c>
      <c r="D322" s="54">
        <f t="shared" si="9"/>
        <v>42865.643846666666</v>
      </c>
      <c r="E322" s="63">
        <v>42865</v>
      </c>
      <c r="F322" s="61">
        <v>0.60218000000000005</v>
      </c>
      <c r="G322" s="63">
        <v>42865</v>
      </c>
      <c r="H322" s="61">
        <v>0.64384666666666668</v>
      </c>
      <c r="I322" s="55">
        <v>30</v>
      </c>
      <c r="J322" s="56" t="s">
        <v>227</v>
      </c>
      <c r="K322" s="75" t="s">
        <v>228</v>
      </c>
      <c r="L322" s="70">
        <v>0</v>
      </c>
    </row>
    <row r="323" spans="1:12" ht="15" customHeight="1">
      <c r="A323" s="53" t="s">
        <v>220</v>
      </c>
      <c r="B323" s="53" t="s">
        <v>136</v>
      </c>
      <c r="C323" s="54">
        <f t="shared" ref="C323:C386" si="10">E323+F323</f>
        <v>42816.706680000003</v>
      </c>
      <c r="D323" s="54">
        <f t="shared" ref="D323:D386" si="11">G323+H323</f>
        <v>42816.748346666667</v>
      </c>
      <c r="E323" s="63">
        <v>42816</v>
      </c>
      <c r="F323" s="61">
        <v>0.70667999999999997</v>
      </c>
      <c r="G323" s="63">
        <v>42816</v>
      </c>
      <c r="H323" s="61">
        <v>0.7483466666666666</v>
      </c>
      <c r="I323" s="55">
        <v>30</v>
      </c>
      <c r="J323" s="56" t="s">
        <v>229</v>
      </c>
      <c r="K323" s="75" t="s">
        <v>230</v>
      </c>
      <c r="L323" s="70">
        <v>0</v>
      </c>
    </row>
    <row r="324" spans="1:12" ht="15" customHeight="1">
      <c r="A324" s="53" t="s">
        <v>220</v>
      </c>
      <c r="B324" s="53" t="s">
        <v>137</v>
      </c>
      <c r="C324" s="54">
        <f t="shared" si="10"/>
        <v>42969.63654</v>
      </c>
      <c r="D324" s="54">
        <f t="shared" si="11"/>
        <v>42969.678206666664</v>
      </c>
      <c r="E324" s="63">
        <v>42969</v>
      </c>
      <c r="F324" s="61">
        <v>0.63653999999999999</v>
      </c>
      <c r="G324" s="63">
        <v>42969</v>
      </c>
      <c r="H324" s="61">
        <v>0.67820666666666662</v>
      </c>
      <c r="I324" s="55">
        <v>30</v>
      </c>
      <c r="J324" s="56" t="s">
        <v>227</v>
      </c>
      <c r="K324" s="75" t="s">
        <v>228</v>
      </c>
      <c r="L324" s="70">
        <v>0</v>
      </c>
    </row>
    <row r="325" spans="1:12" ht="15" customHeight="1">
      <c r="A325" s="53" t="s">
        <v>220</v>
      </c>
      <c r="B325" s="53" t="s">
        <v>138</v>
      </c>
      <c r="C325" s="54">
        <f t="shared" si="10"/>
        <v>43008.386870000002</v>
      </c>
      <c r="D325" s="54">
        <f t="shared" si="11"/>
        <v>43008.428536666666</v>
      </c>
      <c r="E325" s="63">
        <v>43008</v>
      </c>
      <c r="F325" s="61">
        <v>0.38686999999999999</v>
      </c>
      <c r="G325" s="63">
        <v>43008</v>
      </c>
      <c r="H325" s="61">
        <v>0.42853666666666668</v>
      </c>
      <c r="I325" s="55">
        <v>30</v>
      </c>
      <c r="J325" s="56" t="s">
        <v>227</v>
      </c>
      <c r="K325" s="75" t="s">
        <v>228</v>
      </c>
      <c r="L325" s="70">
        <v>0</v>
      </c>
    </row>
    <row r="326" spans="1:12" ht="15" customHeight="1">
      <c r="A326" s="53" t="s">
        <v>220</v>
      </c>
      <c r="B326" s="53" t="s">
        <v>139</v>
      </c>
      <c r="C326" s="54">
        <f t="shared" si="10"/>
        <v>42781.537850000001</v>
      </c>
      <c r="D326" s="54">
        <f t="shared" si="11"/>
        <v>42781.579516666665</v>
      </c>
      <c r="E326" s="63">
        <v>42781</v>
      </c>
      <c r="F326" s="61">
        <v>0.53785000000000005</v>
      </c>
      <c r="G326" s="63">
        <v>42781</v>
      </c>
      <c r="H326" s="61">
        <v>0.57951666666666668</v>
      </c>
      <c r="I326" s="55">
        <v>30</v>
      </c>
      <c r="J326" s="56" t="s">
        <v>229</v>
      </c>
      <c r="K326" s="75" t="s">
        <v>228</v>
      </c>
      <c r="L326" s="70">
        <v>0</v>
      </c>
    </row>
    <row r="327" spans="1:12" ht="15" customHeight="1">
      <c r="A327" s="53" t="s">
        <v>220</v>
      </c>
      <c r="B327" s="53" t="s">
        <v>140</v>
      </c>
      <c r="C327" s="54">
        <f t="shared" si="10"/>
        <v>42803.37412</v>
      </c>
      <c r="D327" s="54">
        <f t="shared" si="11"/>
        <v>42803.415786666665</v>
      </c>
      <c r="E327" s="63">
        <v>42803</v>
      </c>
      <c r="F327" s="61">
        <v>0.37412000000000001</v>
      </c>
      <c r="G327" s="63">
        <v>42803</v>
      </c>
      <c r="H327" s="61">
        <v>0.41578666666666669</v>
      </c>
      <c r="I327" s="55">
        <v>30</v>
      </c>
      <c r="J327" s="56" t="s">
        <v>232</v>
      </c>
      <c r="K327" s="75" t="s">
        <v>228</v>
      </c>
      <c r="L327" s="70">
        <v>0</v>
      </c>
    </row>
    <row r="328" spans="1:12" ht="15" customHeight="1">
      <c r="A328" s="53" t="s">
        <v>220</v>
      </c>
      <c r="B328" s="53" t="s">
        <v>141</v>
      </c>
      <c r="C328" s="54">
        <f t="shared" si="10"/>
        <v>42798.524550000002</v>
      </c>
      <c r="D328" s="54">
        <f t="shared" si="11"/>
        <v>42798.566216666666</v>
      </c>
      <c r="E328" s="63">
        <v>42798</v>
      </c>
      <c r="F328" s="61">
        <v>0.52454999999999996</v>
      </c>
      <c r="G328" s="63">
        <v>42798</v>
      </c>
      <c r="H328" s="61">
        <v>0.56621666666666659</v>
      </c>
      <c r="I328" s="55">
        <v>30</v>
      </c>
      <c r="J328" s="56" t="s">
        <v>227</v>
      </c>
      <c r="K328" s="75" t="s">
        <v>231</v>
      </c>
      <c r="L328" s="70">
        <v>0</v>
      </c>
    </row>
    <row r="329" spans="1:12" ht="15" customHeight="1">
      <c r="A329" s="53" t="s">
        <v>216</v>
      </c>
      <c r="B329" s="53" t="s">
        <v>142</v>
      </c>
      <c r="C329" s="54">
        <f t="shared" si="10"/>
        <v>42997.451379999999</v>
      </c>
      <c r="D329" s="54">
        <f t="shared" si="11"/>
        <v>42997.49304666667</v>
      </c>
      <c r="E329" s="63">
        <v>42997</v>
      </c>
      <c r="F329" s="61">
        <v>0.45138</v>
      </c>
      <c r="G329" s="63">
        <v>42997</v>
      </c>
      <c r="H329" s="61">
        <v>0.49304666666666669</v>
      </c>
      <c r="I329" s="55">
        <v>30</v>
      </c>
      <c r="J329" s="56" t="s">
        <v>229</v>
      </c>
      <c r="K329" s="75" t="s">
        <v>230</v>
      </c>
      <c r="L329" s="70">
        <v>0</v>
      </c>
    </row>
    <row r="330" spans="1:12" ht="15" customHeight="1">
      <c r="A330" s="53" t="s">
        <v>218</v>
      </c>
      <c r="B330" s="53" t="s">
        <v>143</v>
      </c>
      <c r="C330" s="54">
        <f t="shared" si="10"/>
        <v>42817.735280000001</v>
      </c>
      <c r="D330" s="54">
        <f t="shared" si="11"/>
        <v>42817.776946666665</v>
      </c>
      <c r="E330" s="63">
        <v>42817</v>
      </c>
      <c r="F330" s="61">
        <v>0.73528000000000004</v>
      </c>
      <c r="G330" s="63">
        <v>42817</v>
      </c>
      <c r="H330" s="61">
        <v>0.77694666666666667</v>
      </c>
      <c r="I330" s="55">
        <v>30</v>
      </c>
      <c r="J330" s="56" t="s">
        <v>229</v>
      </c>
      <c r="K330" s="75" t="s">
        <v>231</v>
      </c>
      <c r="L330" s="70">
        <v>0</v>
      </c>
    </row>
    <row r="331" spans="1:12" ht="15" customHeight="1">
      <c r="A331" s="53" t="s">
        <v>219</v>
      </c>
      <c r="B331" s="53" t="s">
        <v>144</v>
      </c>
      <c r="C331" s="54">
        <f t="shared" si="10"/>
        <v>42932.737200000003</v>
      </c>
      <c r="D331" s="54">
        <f t="shared" si="11"/>
        <v>42932.778866666667</v>
      </c>
      <c r="E331" s="63">
        <v>42932</v>
      </c>
      <c r="F331" s="61">
        <v>0.73719999999999997</v>
      </c>
      <c r="G331" s="63">
        <v>42932</v>
      </c>
      <c r="H331" s="61">
        <v>0.7788666666666666</v>
      </c>
      <c r="I331" s="55">
        <v>30</v>
      </c>
      <c r="J331" s="56" t="s">
        <v>227</v>
      </c>
      <c r="K331" s="75" t="s">
        <v>230</v>
      </c>
      <c r="L331" s="70">
        <v>0</v>
      </c>
    </row>
    <row r="332" spans="1:12" ht="15" customHeight="1">
      <c r="A332" s="53" t="s">
        <v>220</v>
      </c>
      <c r="B332" s="53" t="s">
        <v>145</v>
      </c>
      <c r="C332" s="54">
        <f t="shared" si="10"/>
        <v>43070.527880000001</v>
      </c>
      <c r="D332" s="54">
        <f t="shared" si="11"/>
        <v>43070.569546666666</v>
      </c>
      <c r="E332" s="63">
        <v>43070</v>
      </c>
      <c r="F332" s="61">
        <v>0.52788000000000002</v>
      </c>
      <c r="G332" s="63">
        <v>43070</v>
      </c>
      <c r="H332" s="61">
        <v>0.56954666666666665</v>
      </c>
      <c r="I332" s="55">
        <v>30</v>
      </c>
      <c r="J332" s="56" t="s">
        <v>232</v>
      </c>
      <c r="K332" s="75" t="s">
        <v>230</v>
      </c>
      <c r="L332" s="70">
        <v>0</v>
      </c>
    </row>
    <row r="333" spans="1:12" ht="15" customHeight="1">
      <c r="A333" s="53" t="s">
        <v>219</v>
      </c>
      <c r="B333" s="53" t="s">
        <v>146</v>
      </c>
      <c r="C333" s="54">
        <f t="shared" si="10"/>
        <v>42872.592360000002</v>
      </c>
      <c r="D333" s="54">
        <f t="shared" si="11"/>
        <v>42872.634026666667</v>
      </c>
      <c r="E333" s="63">
        <v>42872</v>
      </c>
      <c r="F333" s="61">
        <v>0.59236</v>
      </c>
      <c r="G333" s="63">
        <v>42872</v>
      </c>
      <c r="H333" s="61">
        <v>0.63402666666666663</v>
      </c>
      <c r="I333" s="55">
        <v>30</v>
      </c>
      <c r="J333" s="56" t="s">
        <v>229</v>
      </c>
      <c r="K333" s="75" t="s">
        <v>228</v>
      </c>
      <c r="L333" s="70">
        <v>0</v>
      </c>
    </row>
    <row r="334" spans="1:12" ht="15" customHeight="1">
      <c r="A334" s="53" t="s">
        <v>218</v>
      </c>
      <c r="B334" s="53" t="s">
        <v>147</v>
      </c>
      <c r="C334" s="54">
        <f t="shared" si="10"/>
        <v>42739.529390000003</v>
      </c>
      <c r="D334" s="54">
        <f t="shared" si="11"/>
        <v>42739.571056666668</v>
      </c>
      <c r="E334" s="63">
        <v>42739</v>
      </c>
      <c r="F334" s="61">
        <v>0.52939000000000003</v>
      </c>
      <c r="G334" s="63">
        <v>42739</v>
      </c>
      <c r="H334" s="61">
        <v>0.57105666666666666</v>
      </c>
      <c r="I334" s="55">
        <v>30</v>
      </c>
      <c r="J334" s="56" t="s">
        <v>227</v>
      </c>
      <c r="K334" s="75" t="s">
        <v>230</v>
      </c>
      <c r="L334" s="70">
        <v>0</v>
      </c>
    </row>
    <row r="335" spans="1:12" ht="15" customHeight="1">
      <c r="A335" s="53" t="s">
        <v>218</v>
      </c>
      <c r="B335" s="53" t="s">
        <v>148</v>
      </c>
      <c r="C335" s="54">
        <f t="shared" si="10"/>
        <v>43061.540939999999</v>
      </c>
      <c r="D335" s="54">
        <f t="shared" si="11"/>
        <v>43061.582606666663</v>
      </c>
      <c r="E335" s="63">
        <v>43061</v>
      </c>
      <c r="F335" s="61">
        <v>0.54093999999999998</v>
      </c>
      <c r="G335" s="63">
        <v>43061</v>
      </c>
      <c r="H335" s="61">
        <v>0.58260666666666661</v>
      </c>
      <c r="I335" s="55">
        <v>30</v>
      </c>
      <c r="J335" s="56" t="s">
        <v>229</v>
      </c>
      <c r="K335" s="75" t="s">
        <v>230</v>
      </c>
      <c r="L335" s="70">
        <v>0</v>
      </c>
    </row>
    <row r="336" spans="1:12" ht="15" customHeight="1">
      <c r="A336" s="53" t="s">
        <v>220</v>
      </c>
      <c r="B336" s="53" t="s">
        <v>149</v>
      </c>
      <c r="C336" s="54">
        <f t="shared" si="10"/>
        <v>43092.614710000002</v>
      </c>
      <c r="D336" s="54">
        <f t="shared" si="11"/>
        <v>43092.656376666666</v>
      </c>
      <c r="E336" s="63">
        <v>43092</v>
      </c>
      <c r="F336" s="61">
        <v>0.61470999999999998</v>
      </c>
      <c r="G336" s="63">
        <v>43092</v>
      </c>
      <c r="H336" s="61">
        <v>0.65637666666666661</v>
      </c>
      <c r="I336" s="55">
        <v>30</v>
      </c>
      <c r="J336" s="56" t="s">
        <v>227</v>
      </c>
      <c r="K336" s="75" t="s">
        <v>228</v>
      </c>
      <c r="L336" s="70">
        <v>0</v>
      </c>
    </row>
    <row r="337" spans="1:12" ht="15" customHeight="1">
      <c r="A337" s="53" t="s">
        <v>216</v>
      </c>
      <c r="B337" s="53" t="s">
        <v>150</v>
      </c>
      <c r="C337" s="54">
        <f t="shared" si="10"/>
        <v>42948.496789999997</v>
      </c>
      <c r="D337" s="54">
        <f t="shared" si="11"/>
        <v>42948.538456666669</v>
      </c>
      <c r="E337" s="63">
        <v>42948</v>
      </c>
      <c r="F337" s="61">
        <v>0.49679000000000001</v>
      </c>
      <c r="G337" s="63">
        <v>42948</v>
      </c>
      <c r="H337" s="61">
        <v>0.53845666666666669</v>
      </c>
      <c r="I337" s="55">
        <v>30</v>
      </c>
      <c r="J337" s="56" t="s">
        <v>232</v>
      </c>
      <c r="K337" s="75" t="s">
        <v>230</v>
      </c>
      <c r="L337" s="70">
        <v>0</v>
      </c>
    </row>
    <row r="338" spans="1:12" ht="15" customHeight="1">
      <c r="A338" s="53" t="s">
        <v>216</v>
      </c>
      <c r="B338" s="53" t="s">
        <v>151</v>
      </c>
      <c r="C338" s="54">
        <f t="shared" si="10"/>
        <v>42804.70667</v>
      </c>
      <c r="D338" s="54">
        <f t="shared" si="11"/>
        <v>42804.748336666664</v>
      </c>
      <c r="E338" s="63">
        <v>42804</v>
      </c>
      <c r="F338" s="61">
        <v>0.70667000000000002</v>
      </c>
      <c r="G338" s="63">
        <v>42804</v>
      </c>
      <c r="H338" s="61">
        <v>0.74833666666666665</v>
      </c>
      <c r="I338" s="55">
        <v>30</v>
      </c>
      <c r="J338" s="56" t="s">
        <v>227</v>
      </c>
      <c r="K338" s="75" t="s">
        <v>230</v>
      </c>
      <c r="L338" s="70">
        <v>0</v>
      </c>
    </row>
    <row r="339" spans="1:12" ht="15" customHeight="1">
      <c r="A339" s="53" t="s">
        <v>219</v>
      </c>
      <c r="B339" s="53" t="s">
        <v>152</v>
      </c>
      <c r="C339" s="54">
        <f t="shared" si="10"/>
        <v>42745.752979999997</v>
      </c>
      <c r="D339" s="54">
        <f t="shared" si="11"/>
        <v>42745.794646666669</v>
      </c>
      <c r="E339" s="63">
        <v>42745</v>
      </c>
      <c r="F339" s="61">
        <v>0.75297999999999998</v>
      </c>
      <c r="G339" s="63">
        <v>42745</v>
      </c>
      <c r="H339" s="61">
        <v>0.79464666666666661</v>
      </c>
      <c r="I339" s="55">
        <v>30</v>
      </c>
      <c r="J339" s="56" t="s">
        <v>232</v>
      </c>
      <c r="K339" s="75" t="s">
        <v>228</v>
      </c>
      <c r="L339" s="70">
        <v>0</v>
      </c>
    </row>
    <row r="340" spans="1:12" ht="15" customHeight="1">
      <c r="A340" s="53" t="s">
        <v>220</v>
      </c>
      <c r="B340" s="53" t="s">
        <v>153</v>
      </c>
      <c r="C340" s="54">
        <f t="shared" si="10"/>
        <v>42989.573400000001</v>
      </c>
      <c r="D340" s="54">
        <f t="shared" si="11"/>
        <v>42989.615066666665</v>
      </c>
      <c r="E340" s="63">
        <v>42989</v>
      </c>
      <c r="F340" s="61">
        <v>0.57340000000000002</v>
      </c>
      <c r="G340" s="63">
        <v>42989</v>
      </c>
      <c r="H340" s="61">
        <v>0.61506666666666665</v>
      </c>
      <c r="I340" s="55">
        <v>30</v>
      </c>
      <c r="J340" s="56" t="s">
        <v>227</v>
      </c>
      <c r="K340" s="75" t="s">
        <v>228</v>
      </c>
      <c r="L340" s="70">
        <v>0</v>
      </c>
    </row>
    <row r="341" spans="1:12" ht="15" customHeight="1">
      <c r="A341" s="53" t="s">
        <v>217</v>
      </c>
      <c r="B341" s="53" t="s">
        <v>154</v>
      </c>
      <c r="C341" s="54">
        <f t="shared" si="10"/>
        <v>43091.638939999997</v>
      </c>
      <c r="D341" s="54">
        <f t="shared" si="11"/>
        <v>43091.680606666669</v>
      </c>
      <c r="E341" s="63">
        <v>43091</v>
      </c>
      <c r="F341" s="61">
        <v>0.63893999999999995</v>
      </c>
      <c r="G341" s="63">
        <v>43091</v>
      </c>
      <c r="H341" s="61">
        <v>0.68060666666666658</v>
      </c>
      <c r="I341" s="55">
        <v>30</v>
      </c>
      <c r="J341" s="56" t="s">
        <v>227</v>
      </c>
      <c r="K341" s="75" t="s">
        <v>228</v>
      </c>
      <c r="L341" s="70">
        <v>0</v>
      </c>
    </row>
    <row r="342" spans="1:12" ht="15" customHeight="1">
      <c r="A342" s="53" t="s">
        <v>216</v>
      </c>
      <c r="B342" s="53" t="s">
        <v>155</v>
      </c>
      <c r="C342" s="54">
        <f t="shared" si="10"/>
        <v>42736.405939999997</v>
      </c>
      <c r="D342" s="54">
        <f t="shared" si="11"/>
        <v>42736.447606666668</v>
      </c>
      <c r="E342" s="63">
        <v>42736</v>
      </c>
      <c r="F342" s="61">
        <v>0.40594000000000002</v>
      </c>
      <c r="G342" s="63">
        <v>42736</v>
      </c>
      <c r="H342" s="61">
        <v>0.44760666666666671</v>
      </c>
      <c r="I342" s="55">
        <v>30</v>
      </c>
      <c r="J342" s="56" t="s">
        <v>232</v>
      </c>
      <c r="K342" s="75" t="s">
        <v>231</v>
      </c>
      <c r="L342" s="70">
        <v>0</v>
      </c>
    </row>
    <row r="343" spans="1:12" ht="15" customHeight="1">
      <c r="A343" s="53" t="s">
        <v>220</v>
      </c>
      <c r="B343" s="53" t="s">
        <v>156</v>
      </c>
      <c r="C343" s="54">
        <f t="shared" si="10"/>
        <v>42766.461560000003</v>
      </c>
      <c r="D343" s="54">
        <f t="shared" si="11"/>
        <v>42766.503226666668</v>
      </c>
      <c r="E343" s="63">
        <v>42766</v>
      </c>
      <c r="F343" s="61">
        <v>0.46156000000000003</v>
      </c>
      <c r="G343" s="63">
        <v>42766</v>
      </c>
      <c r="H343" s="61">
        <v>0.50322666666666671</v>
      </c>
      <c r="I343" s="55">
        <v>30</v>
      </c>
      <c r="J343" s="56" t="s">
        <v>227</v>
      </c>
      <c r="K343" s="75" t="s">
        <v>230</v>
      </c>
      <c r="L343" s="70">
        <v>0</v>
      </c>
    </row>
    <row r="344" spans="1:12" ht="15" customHeight="1">
      <c r="A344" s="53" t="s">
        <v>217</v>
      </c>
      <c r="B344" s="53" t="s">
        <v>157</v>
      </c>
      <c r="C344" s="54">
        <f t="shared" si="10"/>
        <v>42800.64935</v>
      </c>
      <c r="D344" s="54">
        <f t="shared" si="11"/>
        <v>42800.691016666664</v>
      </c>
      <c r="E344" s="63">
        <v>42800</v>
      </c>
      <c r="F344" s="61">
        <v>0.64934999999999998</v>
      </c>
      <c r="G344" s="63">
        <v>42800</v>
      </c>
      <c r="H344" s="61">
        <v>0.69101666666666661</v>
      </c>
      <c r="I344" s="55">
        <v>30</v>
      </c>
      <c r="J344" s="56" t="s">
        <v>229</v>
      </c>
      <c r="K344" s="75" t="s">
        <v>230</v>
      </c>
      <c r="L344" s="70">
        <v>0</v>
      </c>
    </row>
    <row r="345" spans="1:12" ht="15" customHeight="1">
      <c r="A345" s="53" t="s">
        <v>217</v>
      </c>
      <c r="B345" s="53" t="s">
        <v>158</v>
      </c>
      <c r="C345" s="54">
        <f t="shared" si="10"/>
        <v>43057.332289999998</v>
      </c>
      <c r="D345" s="54">
        <f t="shared" si="11"/>
        <v>43057.37395666667</v>
      </c>
      <c r="E345" s="63">
        <v>43057</v>
      </c>
      <c r="F345" s="61">
        <v>0.33228999999999997</v>
      </c>
      <c r="G345" s="63">
        <v>43057</v>
      </c>
      <c r="H345" s="61">
        <v>0.37395666666666666</v>
      </c>
      <c r="I345" s="55">
        <v>30</v>
      </c>
      <c r="J345" s="56" t="s">
        <v>229</v>
      </c>
      <c r="K345" s="75" t="s">
        <v>231</v>
      </c>
      <c r="L345" s="70">
        <v>0</v>
      </c>
    </row>
    <row r="346" spans="1:12" ht="15" customHeight="1">
      <c r="A346" s="53" t="s">
        <v>220</v>
      </c>
      <c r="B346" s="53" t="s">
        <v>159</v>
      </c>
      <c r="C346" s="54">
        <f t="shared" si="10"/>
        <v>42927.687420000002</v>
      </c>
      <c r="D346" s="54">
        <f t="shared" si="11"/>
        <v>42927.729086666666</v>
      </c>
      <c r="E346" s="63">
        <v>42927</v>
      </c>
      <c r="F346" s="61">
        <v>0.68742000000000003</v>
      </c>
      <c r="G346" s="63">
        <v>42927</v>
      </c>
      <c r="H346" s="61">
        <v>0.72908666666666666</v>
      </c>
      <c r="I346" s="55">
        <v>30</v>
      </c>
      <c r="J346" s="56" t="s">
        <v>229</v>
      </c>
      <c r="K346" s="75" t="s">
        <v>231</v>
      </c>
      <c r="L346" s="70">
        <v>0</v>
      </c>
    </row>
    <row r="347" spans="1:12" ht="15" customHeight="1">
      <c r="A347" s="53" t="s">
        <v>217</v>
      </c>
      <c r="B347" s="53" t="s">
        <v>160</v>
      </c>
      <c r="C347" s="54">
        <f t="shared" si="10"/>
        <v>42855.530980000003</v>
      </c>
      <c r="D347" s="54">
        <f t="shared" si="11"/>
        <v>42855.572646666667</v>
      </c>
      <c r="E347" s="63">
        <v>42855</v>
      </c>
      <c r="F347" s="61">
        <v>0.53098000000000001</v>
      </c>
      <c r="G347" s="63">
        <v>42855</v>
      </c>
      <c r="H347" s="61">
        <v>0.57264666666666664</v>
      </c>
      <c r="I347" s="55">
        <v>30</v>
      </c>
      <c r="J347" s="56" t="s">
        <v>232</v>
      </c>
      <c r="K347" s="75" t="s">
        <v>231</v>
      </c>
      <c r="L347" s="70">
        <v>0</v>
      </c>
    </row>
    <row r="348" spans="1:12" ht="15" customHeight="1">
      <c r="A348" s="53" t="s">
        <v>220</v>
      </c>
      <c r="B348" s="53" t="s">
        <v>161</v>
      </c>
      <c r="C348" s="54">
        <f t="shared" si="10"/>
        <v>42953.390370000001</v>
      </c>
      <c r="D348" s="54">
        <f t="shared" si="11"/>
        <v>42953.432036666665</v>
      </c>
      <c r="E348" s="63">
        <v>42953</v>
      </c>
      <c r="F348" s="61">
        <v>0.39036999999999999</v>
      </c>
      <c r="G348" s="63">
        <v>42953</v>
      </c>
      <c r="H348" s="61">
        <v>0.43203666666666668</v>
      </c>
      <c r="I348" s="55">
        <v>30</v>
      </c>
      <c r="J348" s="56" t="s">
        <v>232</v>
      </c>
      <c r="K348" s="75" t="s">
        <v>228</v>
      </c>
      <c r="L348" s="70">
        <v>0</v>
      </c>
    </row>
    <row r="349" spans="1:12" ht="15" customHeight="1">
      <c r="A349" s="53" t="s">
        <v>218</v>
      </c>
      <c r="B349" s="51" t="s">
        <v>162</v>
      </c>
      <c r="C349" s="54">
        <f t="shared" si="10"/>
        <v>42978.449739999996</v>
      </c>
      <c r="D349" s="54">
        <f t="shared" si="11"/>
        <v>42978.491406666668</v>
      </c>
      <c r="E349" s="63">
        <v>42978</v>
      </c>
      <c r="F349" s="61">
        <v>0.44973999999999997</v>
      </c>
      <c r="G349" s="63">
        <v>42978</v>
      </c>
      <c r="H349" s="61">
        <v>0.49140666666666666</v>
      </c>
      <c r="I349" s="55">
        <v>30</v>
      </c>
      <c r="J349" s="56" t="s">
        <v>229</v>
      </c>
      <c r="K349" s="75" t="s">
        <v>230</v>
      </c>
      <c r="L349" s="70">
        <v>0</v>
      </c>
    </row>
    <row r="350" spans="1:12" ht="15" customHeight="1">
      <c r="A350" s="53" t="s">
        <v>220</v>
      </c>
      <c r="B350" s="53" t="s">
        <v>163</v>
      </c>
      <c r="C350" s="54">
        <f t="shared" si="10"/>
        <v>42882.3822</v>
      </c>
      <c r="D350" s="54">
        <f t="shared" si="11"/>
        <v>42882.423866666664</v>
      </c>
      <c r="E350" s="63">
        <v>42882</v>
      </c>
      <c r="F350" s="61">
        <v>0.38219999999999998</v>
      </c>
      <c r="G350" s="63">
        <v>42882</v>
      </c>
      <c r="H350" s="61">
        <v>0.42386666666666667</v>
      </c>
      <c r="I350" s="55">
        <v>30</v>
      </c>
      <c r="J350" s="56" t="s">
        <v>229</v>
      </c>
      <c r="K350" s="75" t="s">
        <v>230</v>
      </c>
      <c r="L350" s="70">
        <v>0</v>
      </c>
    </row>
    <row r="351" spans="1:12" ht="15" customHeight="1">
      <c r="A351" s="53" t="s">
        <v>218</v>
      </c>
      <c r="B351" s="53" t="s">
        <v>164</v>
      </c>
      <c r="C351" s="54">
        <f t="shared" si="10"/>
        <v>43051.492429999998</v>
      </c>
      <c r="D351" s="54">
        <f t="shared" si="11"/>
        <v>43051.53409666667</v>
      </c>
      <c r="E351" s="63">
        <v>43051</v>
      </c>
      <c r="F351" s="61">
        <v>0.49242999999999998</v>
      </c>
      <c r="G351" s="63">
        <v>43051</v>
      </c>
      <c r="H351" s="61">
        <v>0.53409666666666666</v>
      </c>
      <c r="I351" s="55">
        <v>30</v>
      </c>
      <c r="J351" s="56" t="s">
        <v>232</v>
      </c>
      <c r="K351" s="75" t="s">
        <v>231</v>
      </c>
      <c r="L351" s="70">
        <v>0</v>
      </c>
    </row>
    <row r="352" spans="1:12" ht="15" customHeight="1">
      <c r="A352" s="53" t="s">
        <v>220</v>
      </c>
      <c r="B352" s="53" t="s">
        <v>165</v>
      </c>
      <c r="C352" s="54">
        <f t="shared" si="10"/>
        <v>42975.7405</v>
      </c>
      <c r="D352" s="54">
        <f t="shared" si="11"/>
        <v>42975.782166666664</v>
      </c>
      <c r="E352" s="63">
        <v>42975</v>
      </c>
      <c r="F352" s="61">
        <v>0.74050000000000005</v>
      </c>
      <c r="G352" s="63">
        <v>42975</v>
      </c>
      <c r="H352" s="61">
        <v>0.78216666666666668</v>
      </c>
      <c r="I352" s="55">
        <v>30</v>
      </c>
      <c r="J352" s="56" t="s">
        <v>229</v>
      </c>
      <c r="K352" s="75" t="s">
        <v>230</v>
      </c>
      <c r="L352" s="70">
        <v>0</v>
      </c>
    </row>
    <row r="353" spans="1:12" ht="15" customHeight="1">
      <c r="A353" s="53" t="s">
        <v>216</v>
      </c>
      <c r="B353" s="53" t="s">
        <v>166</v>
      </c>
      <c r="C353" s="54">
        <f t="shared" si="10"/>
        <v>42952.631529999999</v>
      </c>
      <c r="D353" s="54">
        <f t="shared" si="11"/>
        <v>42952.67319666667</v>
      </c>
      <c r="E353" s="63">
        <v>42952</v>
      </c>
      <c r="F353" s="61">
        <v>0.63153000000000004</v>
      </c>
      <c r="G353" s="63">
        <v>42952</v>
      </c>
      <c r="H353" s="61">
        <v>0.67319666666666667</v>
      </c>
      <c r="I353" s="55">
        <v>30</v>
      </c>
      <c r="J353" s="56" t="s">
        <v>229</v>
      </c>
      <c r="K353" s="75" t="s">
        <v>231</v>
      </c>
      <c r="L353" s="70">
        <v>0</v>
      </c>
    </row>
    <row r="354" spans="1:12" ht="15" customHeight="1">
      <c r="A354" s="53" t="s">
        <v>217</v>
      </c>
      <c r="B354" s="53" t="s">
        <v>167</v>
      </c>
      <c r="C354" s="54">
        <f t="shared" si="10"/>
        <v>42958.737760000004</v>
      </c>
      <c r="D354" s="54">
        <f t="shared" si="11"/>
        <v>42958.779426666668</v>
      </c>
      <c r="E354" s="63">
        <v>42958</v>
      </c>
      <c r="F354" s="61">
        <v>0.73775999999999997</v>
      </c>
      <c r="G354" s="63">
        <v>42958</v>
      </c>
      <c r="H354" s="61">
        <v>0.7794266666666666</v>
      </c>
      <c r="I354" s="55">
        <v>30</v>
      </c>
      <c r="J354" s="56" t="s">
        <v>229</v>
      </c>
      <c r="K354" s="75" t="s">
        <v>230</v>
      </c>
      <c r="L354" s="70">
        <v>0</v>
      </c>
    </row>
    <row r="355" spans="1:12" ht="15" customHeight="1">
      <c r="A355" s="53" t="s">
        <v>216</v>
      </c>
      <c r="B355" s="53" t="s">
        <v>168</v>
      </c>
      <c r="C355" s="54">
        <f t="shared" si="10"/>
        <v>42845.47193</v>
      </c>
      <c r="D355" s="54">
        <f t="shared" si="11"/>
        <v>42845.513596666664</v>
      </c>
      <c r="E355" s="63">
        <v>42845</v>
      </c>
      <c r="F355" s="61">
        <v>0.47193000000000002</v>
      </c>
      <c r="G355" s="63">
        <v>42845</v>
      </c>
      <c r="H355" s="61">
        <v>0.5135966666666667</v>
      </c>
      <c r="I355" s="55">
        <v>30</v>
      </c>
      <c r="J355" s="56" t="s">
        <v>229</v>
      </c>
      <c r="K355" s="75" t="s">
        <v>228</v>
      </c>
      <c r="L355" s="70">
        <v>0</v>
      </c>
    </row>
    <row r="356" spans="1:12" ht="15" customHeight="1">
      <c r="A356" s="53" t="s">
        <v>218</v>
      </c>
      <c r="B356" s="53" t="s">
        <v>169</v>
      </c>
      <c r="C356" s="54">
        <f t="shared" si="10"/>
        <v>43036.657939999997</v>
      </c>
      <c r="D356" s="54">
        <f t="shared" si="11"/>
        <v>43036.699606666669</v>
      </c>
      <c r="E356" s="63">
        <v>43036</v>
      </c>
      <c r="F356" s="61">
        <v>0.65793999999999997</v>
      </c>
      <c r="G356" s="63">
        <v>43036</v>
      </c>
      <c r="H356" s="61">
        <v>0.6996066666666666</v>
      </c>
      <c r="I356" s="55">
        <v>30</v>
      </c>
      <c r="J356" s="56" t="s">
        <v>227</v>
      </c>
      <c r="K356" s="75" t="s">
        <v>230</v>
      </c>
      <c r="L356" s="70">
        <v>0</v>
      </c>
    </row>
    <row r="357" spans="1:12" ht="15" customHeight="1">
      <c r="A357" s="53" t="s">
        <v>220</v>
      </c>
      <c r="B357" s="53" t="s">
        <v>170</v>
      </c>
      <c r="C357" s="54">
        <f t="shared" si="10"/>
        <v>42943.751250000001</v>
      </c>
      <c r="D357" s="54">
        <f t="shared" si="11"/>
        <v>42943.792916666665</v>
      </c>
      <c r="E357" s="63">
        <v>42943</v>
      </c>
      <c r="F357" s="61">
        <v>0.75124999999999997</v>
      </c>
      <c r="G357" s="63">
        <v>42943</v>
      </c>
      <c r="H357" s="61">
        <v>0.7929166666666666</v>
      </c>
      <c r="I357" s="55">
        <v>30</v>
      </c>
      <c r="J357" s="56" t="s">
        <v>232</v>
      </c>
      <c r="K357" s="75" t="s">
        <v>228</v>
      </c>
      <c r="L357" s="70">
        <v>0</v>
      </c>
    </row>
    <row r="358" spans="1:12" ht="15" customHeight="1">
      <c r="A358" s="53" t="s">
        <v>219</v>
      </c>
      <c r="B358" s="53" t="s">
        <v>171</v>
      </c>
      <c r="C358" s="54">
        <f t="shared" si="10"/>
        <v>42827.359219999998</v>
      </c>
      <c r="D358" s="54">
        <f t="shared" si="11"/>
        <v>42827.40088666667</v>
      </c>
      <c r="E358" s="63">
        <v>42827</v>
      </c>
      <c r="F358" s="61">
        <v>0.35921999999999998</v>
      </c>
      <c r="G358" s="63">
        <v>42827</v>
      </c>
      <c r="H358" s="61">
        <v>0.40088666666666667</v>
      </c>
      <c r="I358" s="55">
        <v>30</v>
      </c>
      <c r="J358" s="56" t="s">
        <v>232</v>
      </c>
      <c r="K358" s="75" t="s">
        <v>231</v>
      </c>
      <c r="L358" s="70">
        <v>0</v>
      </c>
    </row>
    <row r="359" spans="1:12" ht="15" customHeight="1">
      <c r="A359" s="53" t="s">
        <v>216</v>
      </c>
      <c r="B359" s="53" t="s">
        <v>172</v>
      </c>
      <c r="C359" s="54">
        <f t="shared" si="10"/>
        <v>42822.488890000001</v>
      </c>
      <c r="D359" s="54">
        <f t="shared" si="11"/>
        <v>42822.530556666665</v>
      </c>
      <c r="E359" s="63">
        <v>42822</v>
      </c>
      <c r="F359" s="61">
        <v>0.48888999999999999</v>
      </c>
      <c r="G359" s="63">
        <v>42822</v>
      </c>
      <c r="H359" s="61">
        <v>0.53055666666666668</v>
      </c>
      <c r="I359" s="55">
        <v>30</v>
      </c>
      <c r="J359" s="56" t="s">
        <v>227</v>
      </c>
      <c r="K359" s="75" t="s">
        <v>228</v>
      </c>
      <c r="L359" s="70">
        <v>0</v>
      </c>
    </row>
    <row r="360" spans="1:12" ht="15" customHeight="1">
      <c r="A360" s="53" t="s">
        <v>216</v>
      </c>
      <c r="B360" s="53" t="s">
        <v>173</v>
      </c>
      <c r="C360" s="54">
        <f t="shared" si="10"/>
        <v>43086.613160000001</v>
      </c>
      <c r="D360" s="54">
        <f t="shared" si="11"/>
        <v>43086.654826666665</v>
      </c>
      <c r="E360" s="63">
        <v>43086</v>
      </c>
      <c r="F360" s="61">
        <v>0.61316000000000004</v>
      </c>
      <c r="G360" s="63">
        <v>43086</v>
      </c>
      <c r="H360" s="61">
        <v>0.65482666666666667</v>
      </c>
      <c r="I360" s="55">
        <v>30</v>
      </c>
      <c r="J360" s="56" t="s">
        <v>229</v>
      </c>
      <c r="K360" s="75" t="s">
        <v>230</v>
      </c>
      <c r="L360" s="70">
        <v>0</v>
      </c>
    </row>
    <row r="361" spans="1:12" ht="15" customHeight="1">
      <c r="A361" s="53" t="s">
        <v>216</v>
      </c>
      <c r="B361" s="53" t="s">
        <v>174</v>
      </c>
      <c r="C361" s="54">
        <f t="shared" si="10"/>
        <v>42746.689189999997</v>
      </c>
      <c r="D361" s="54">
        <f t="shared" si="11"/>
        <v>42746.730856666669</v>
      </c>
      <c r="E361" s="63">
        <v>42746</v>
      </c>
      <c r="F361" s="61">
        <v>0.68918999999999997</v>
      </c>
      <c r="G361" s="63">
        <v>42746</v>
      </c>
      <c r="H361" s="61">
        <v>0.7308566666666666</v>
      </c>
      <c r="I361" s="55">
        <v>30</v>
      </c>
      <c r="J361" s="56" t="s">
        <v>227</v>
      </c>
      <c r="K361" s="75" t="s">
        <v>230</v>
      </c>
      <c r="L361" s="70">
        <v>0</v>
      </c>
    </row>
    <row r="362" spans="1:12" ht="15" customHeight="1">
      <c r="A362" s="53" t="s">
        <v>216</v>
      </c>
      <c r="B362" s="53" t="s">
        <v>175</v>
      </c>
      <c r="C362" s="54">
        <f t="shared" si="10"/>
        <v>43065.707649999997</v>
      </c>
      <c r="D362" s="54">
        <f t="shared" si="11"/>
        <v>43065.749316666668</v>
      </c>
      <c r="E362" s="63">
        <v>43065</v>
      </c>
      <c r="F362" s="61">
        <v>0.70765</v>
      </c>
      <c r="G362" s="63">
        <v>43065</v>
      </c>
      <c r="H362" s="61">
        <v>0.74931666666666663</v>
      </c>
      <c r="I362" s="55">
        <v>30</v>
      </c>
      <c r="J362" s="56" t="s">
        <v>229</v>
      </c>
      <c r="K362" s="75" t="s">
        <v>228</v>
      </c>
      <c r="L362" s="70">
        <v>0</v>
      </c>
    </row>
    <row r="363" spans="1:12" ht="15" customHeight="1">
      <c r="A363" s="53" t="s">
        <v>219</v>
      </c>
      <c r="B363" s="53" t="s">
        <v>176</v>
      </c>
      <c r="C363" s="54">
        <f t="shared" si="10"/>
        <v>42760.662320000003</v>
      </c>
      <c r="D363" s="54">
        <f t="shared" si="11"/>
        <v>42760.703986666667</v>
      </c>
      <c r="E363" s="63">
        <v>42760</v>
      </c>
      <c r="F363" s="61">
        <v>0.66232000000000002</v>
      </c>
      <c r="G363" s="63">
        <v>42760</v>
      </c>
      <c r="H363" s="61">
        <v>0.70398666666666665</v>
      </c>
      <c r="I363" s="55">
        <v>30</v>
      </c>
      <c r="J363" s="56" t="s">
        <v>232</v>
      </c>
      <c r="K363" s="75" t="s">
        <v>228</v>
      </c>
      <c r="L363" s="70">
        <v>0</v>
      </c>
    </row>
    <row r="364" spans="1:12" ht="15" customHeight="1">
      <c r="A364" s="53" t="s">
        <v>217</v>
      </c>
      <c r="B364" s="53" t="s">
        <v>177</v>
      </c>
      <c r="C364" s="54">
        <f t="shared" si="10"/>
        <v>42814.486819999998</v>
      </c>
      <c r="D364" s="54">
        <f t="shared" si="11"/>
        <v>42814.52848666667</v>
      </c>
      <c r="E364" s="63">
        <v>42814</v>
      </c>
      <c r="F364" s="61">
        <v>0.48681999999999997</v>
      </c>
      <c r="G364" s="63">
        <v>42814</v>
      </c>
      <c r="H364" s="61">
        <v>0.52848666666666666</v>
      </c>
      <c r="I364" s="55">
        <v>30</v>
      </c>
      <c r="J364" s="56" t="s">
        <v>232</v>
      </c>
      <c r="K364" s="75" t="s">
        <v>230</v>
      </c>
      <c r="L364" s="70">
        <v>0</v>
      </c>
    </row>
    <row r="365" spans="1:12" ht="15" customHeight="1">
      <c r="A365" s="53" t="s">
        <v>220</v>
      </c>
      <c r="B365" s="53" t="s">
        <v>178</v>
      </c>
      <c r="C365" s="54">
        <f t="shared" si="10"/>
        <v>42789.600209999997</v>
      </c>
      <c r="D365" s="54">
        <f t="shared" si="11"/>
        <v>42789.641876666668</v>
      </c>
      <c r="E365" s="63">
        <v>42789</v>
      </c>
      <c r="F365" s="61">
        <v>0.60021000000000002</v>
      </c>
      <c r="G365" s="63">
        <v>42789</v>
      </c>
      <c r="H365" s="61">
        <v>0.64187666666666665</v>
      </c>
      <c r="I365" s="55">
        <v>30</v>
      </c>
      <c r="J365" s="56" t="s">
        <v>227</v>
      </c>
      <c r="K365" s="75" t="s">
        <v>230</v>
      </c>
      <c r="L365" s="70">
        <v>0</v>
      </c>
    </row>
    <row r="366" spans="1:12" ht="15" customHeight="1">
      <c r="A366" s="53" t="s">
        <v>220</v>
      </c>
      <c r="B366" s="53" t="s">
        <v>179</v>
      </c>
      <c r="C366" s="54">
        <f t="shared" si="10"/>
        <v>42863.579120000002</v>
      </c>
      <c r="D366" s="54">
        <f t="shared" si="11"/>
        <v>42863.620786666666</v>
      </c>
      <c r="E366" s="63">
        <v>42863</v>
      </c>
      <c r="F366" s="61">
        <v>0.57911999999999997</v>
      </c>
      <c r="G366" s="63">
        <v>42863</v>
      </c>
      <c r="H366" s="61">
        <v>0.6207866666666666</v>
      </c>
      <c r="I366" s="55">
        <v>30</v>
      </c>
      <c r="J366" s="56" t="s">
        <v>229</v>
      </c>
      <c r="K366" s="75" t="s">
        <v>228</v>
      </c>
      <c r="L366" s="70">
        <v>0</v>
      </c>
    </row>
    <row r="367" spans="1:12" ht="15" customHeight="1">
      <c r="A367" s="53" t="s">
        <v>217</v>
      </c>
      <c r="B367" s="53" t="s">
        <v>180</v>
      </c>
      <c r="C367" s="54">
        <f t="shared" si="10"/>
        <v>43033.491679999999</v>
      </c>
      <c r="D367" s="54">
        <f t="shared" si="11"/>
        <v>43033.533346666663</v>
      </c>
      <c r="E367" s="63">
        <v>43033</v>
      </c>
      <c r="F367" s="61">
        <v>0.49168000000000001</v>
      </c>
      <c r="G367" s="63">
        <v>43033</v>
      </c>
      <c r="H367" s="61">
        <v>0.53334666666666664</v>
      </c>
      <c r="I367" s="55">
        <v>30</v>
      </c>
      <c r="J367" s="56" t="s">
        <v>227</v>
      </c>
      <c r="K367" s="75" t="s">
        <v>228</v>
      </c>
      <c r="L367" s="70">
        <v>0</v>
      </c>
    </row>
    <row r="368" spans="1:12" ht="15" customHeight="1">
      <c r="A368" s="53" t="s">
        <v>220</v>
      </c>
      <c r="B368" s="53" t="s">
        <v>181</v>
      </c>
      <c r="C368" s="54">
        <f t="shared" si="10"/>
        <v>42979.643129999997</v>
      </c>
      <c r="D368" s="54">
        <f t="shared" si="11"/>
        <v>42979.684796666668</v>
      </c>
      <c r="E368" s="63">
        <v>42979</v>
      </c>
      <c r="F368" s="61">
        <v>0.64312999999999998</v>
      </c>
      <c r="G368" s="63">
        <v>42979</v>
      </c>
      <c r="H368" s="61">
        <v>0.68479666666666661</v>
      </c>
      <c r="I368" s="55">
        <v>30</v>
      </c>
      <c r="J368" s="56" t="s">
        <v>232</v>
      </c>
      <c r="K368" s="75" t="s">
        <v>231</v>
      </c>
      <c r="L368" s="70">
        <v>0</v>
      </c>
    </row>
    <row r="369" spans="1:12" ht="15" customHeight="1">
      <c r="A369" s="53" t="s">
        <v>220</v>
      </c>
      <c r="B369" s="53" t="s">
        <v>182</v>
      </c>
      <c r="C369" s="54">
        <f t="shared" si="10"/>
        <v>43079.496099999997</v>
      </c>
      <c r="D369" s="54">
        <f t="shared" si="11"/>
        <v>43079.537766666668</v>
      </c>
      <c r="E369" s="63">
        <v>43079</v>
      </c>
      <c r="F369" s="61">
        <v>0.49609999999999999</v>
      </c>
      <c r="G369" s="63">
        <v>43079</v>
      </c>
      <c r="H369" s="61">
        <v>0.53776666666666662</v>
      </c>
      <c r="I369" s="55">
        <v>30</v>
      </c>
      <c r="J369" s="56" t="s">
        <v>232</v>
      </c>
      <c r="K369" s="75" t="s">
        <v>231</v>
      </c>
      <c r="L369" s="70">
        <v>0</v>
      </c>
    </row>
    <row r="370" spans="1:12" ht="15" customHeight="1">
      <c r="A370" s="53" t="s">
        <v>220</v>
      </c>
      <c r="B370" s="53" t="s">
        <v>183</v>
      </c>
      <c r="C370" s="54">
        <f t="shared" si="10"/>
        <v>43031.760060000001</v>
      </c>
      <c r="D370" s="54">
        <f t="shared" si="11"/>
        <v>43031.801726666665</v>
      </c>
      <c r="E370" s="63">
        <v>43031</v>
      </c>
      <c r="F370" s="61">
        <v>0.76005999999999996</v>
      </c>
      <c r="G370" s="63">
        <v>43031</v>
      </c>
      <c r="H370" s="61">
        <v>0.80172666666666659</v>
      </c>
      <c r="I370" s="55">
        <v>30</v>
      </c>
      <c r="J370" s="56" t="s">
        <v>227</v>
      </c>
      <c r="K370" s="75" t="s">
        <v>228</v>
      </c>
      <c r="L370" s="70">
        <v>0</v>
      </c>
    </row>
    <row r="371" spans="1:12" ht="15" customHeight="1">
      <c r="A371" s="53" t="s">
        <v>220</v>
      </c>
      <c r="B371" s="53" t="s">
        <v>184</v>
      </c>
      <c r="C371" s="54">
        <f t="shared" si="10"/>
        <v>42938.593939999999</v>
      </c>
      <c r="D371" s="54">
        <f t="shared" si="11"/>
        <v>42938.635606666663</v>
      </c>
      <c r="E371" s="63">
        <v>42938</v>
      </c>
      <c r="F371" s="61">
        <v>0.59394000000000002</v>
      </c>
      <c r="G371" s="63">
        <v>42938</v>
      </c>
      <c r="H371" s="61">
        <v>0.63560666666666665</v>
      </c>
      <c r="I371" s="55">
        <v>30</v>
      </c>
      <c r="J371" s="56" t="s">
        <v>232</v>
      </c>
      <c r="K371" s="75" t="s">
        <v>231</v>
      </c>
      <c r="L371" s="70">
        <v>0</v>
      </c>
    </row>
    <row r="372" spans="1:12" ht="15" customHeight="1">
      <c r="A372" s="53" t="s">
        <v>217</v>
      </c>
      <c r="B372" s="53" t="s">
        <v>185</v>
      </c>
      <c r="C372" s="54">
        <f t="shared" si="10"/>
        <v>42890.747309999999</v>
      </c>
      <c r="D372" s="54">
        <f t="shared" si="11"/>
        <v>42890.788976666663</v>
      </c>
      <c r="E372" s="63">
        <v>42890</v>
      </c>
      <c r="F372" s="61">
        <v>0.74731000000000003</v>
      </c>
      <c r="G372" s="63">
        <v>42890</v>
      </c>
      <c r="H372" s="61">
        <v>0.78897666666666666</v>
      </c>
      <c r="I372" s="55">
        <v>30</v>
      </c>
      <c r="J372" s="56" t="s">
        <v>232</v>
      </c>
      <c r="K372" s="75" t="s">
        <v>228</v>
      </c>
      <c r="L372" s="70">
        <v>0</v>
      </c>
    </row>
    <row r="373" spans="1:12" ht="15" customHeight="1">
      <c r="A373" s="53" t="s">
        <v>220</v>
      </c>
      <c r="B373" s="53" t="s">
        <v>186</v>
      </c>
      <c r="C373" s="54">
        <f t="shared" si="10"/>
        <v>43004.715859999997</v>
      </c>
      <c r="D373" s="54">
        <f t="shared" si="11"/>
        <v>43004.757526666668</v>
      </c>
      <c r="E373" s="63">
        <v>43004</v>
      </c>
      <c r="F373" s="61">
        <v>0.71586000000000005</v>
      </c>
      <c r="G373" s="63">
        <v>43004</v>
      </c>
      <c r="H373" s="61">
        <v>0.75752666666666668</v>
      </c>
      <c r="I373" s="55">
        <v>30</v>
      </c>
      <c r="J373" s="56" t="s">
        <v>227</v>
      </c>
      <c r="K373" s="75" t="s">
        <v>228</v>
      </c>
      <c r="L373" s="70">
        <v>0</v>
      </c>
    </row>
    <row r="374" spans="1:12" ht="15" customHeight="1">
      <c r="A374" s="53" t="s">
        <v>216</v>
      </c>
      <c r="B374" s="53" t="s">
        <v>187</v>
      </c>
      <c r="C374" s="54">
        <f t="shared" si="10"/>
        <v>42971.41115</v>
      </c>
      <c r="D374" s="54">
        <f t="shared" si="11"/>
        <v>42971.452816666664</v>
      </c>
      <c r="E374" s="63">
        <v>42971</v>
      </c>
      <c r="F374" s="61">
        <v>0.41115000000000002</v>
      </c>
      <c r="G374" s="63">
        <v>42971</v>
      </c>
      <c r="H374" s="61">
        <v>0.4528166666666667</v>
      </c>
      <c r="I374" s="55">
        <v>30</v>
      </c>
      <c r="J374" s="56" t="s">
        <v>227</v>
      </c>
      <c r="K374" s="75" t="s">
        <v>228</v>
      </c>
      <c r="L374" s="70">
        <v>0</v>
      </c>
    </row>
    <row r="375" spans="1:12" ht="15" customHeight="1">
      <c r="A375" s="53" t="s">
        <v>218</v>
      </c>
      <c r="B375" s="53" t="s">
        <v>188</v>
      </c>
      <c r="C375" s="54">
        <f t="shared" si="10"/>
        <v>42803.429369999998</v>
      </c>
      <c r="D375" s="54">
        <f t="shared" si="11"/>
        <v>42803.47103666667</v>
      </c>
      <c r="E375" s="63">
        <v>42803</v>
      </c>
      <c r="F375" s="61">
        <v>0.42936999999999997</v>
      </c>
      <c r="G375" s="63">
        <v>42803</v>
      </c>
      <c r="H375" s="61">
        <v>0.47103666666666666</v>
      </c>
      <c r="I375" s="55">
        <v>30</v>
      </c>
      <c r="J375" s="56" t="s">
        <v>227</v>
      </c>
      <c r="K375" s="75" t="s">
        <v>231</v>
      </c>
      <c r="L375" s="70">
        <v>0</v>
      </c>
    </row>
    <row r="376" spans="1:12" ht="15" customHeight="1">
      <c r="A376" s="53" t="s">
        <v>220</v>
      </c>
      <c r="B376" s="57" t="s">
        <v>189</v>
      </c>
      <c r="C376" s="54">
        <f t="shared" si="10"/>
        <v>42957.421470000001</v>
      </c>
      <c r="D376" s="54">
        <f t="shared" si="11"/>
        <v>42957.463136666665</v>
      </c>
      <c r="E376" s="63">
        <v>42957</v>
      </c>
      <c r="F376" s="61">
        <v>0.42147000000000001</v>
      </c>
      <c r="G376" s="63">
        <v>42957</v>
      </c>
      <c r="H376" s="61">
        <v>0.4631366666666667</v>
      </c>
      <c r="I376" s="55">
        <v>30</v>
      </c>
      <c r="J376" s="56" t="s">
        <v>229</v>
      </c>
      <c r="K376" s="75" t="s">
        <v>230</v>
      </c>
      <c r="L376" s="70">
        <v>0</v>
      </c>
    </row>
    <row r="377" spans="1:12" ht="15" customHeight="1">
      <c r="A377" s="53" t="s">
        <v>219</v>
      </c>
      <c r="B377" s="53" t="s">
        <v>190</v>
      </c>
      <c r="C377" s="54">
        <f t="shared" si="10"/>
        <v>43077.419690000002</v>
      </c>
      <c r="D377" s="54">
        <f t="shared" si="11"/>
        <v>43077.461356666667</v>
      </c>
      <c r="E377" s="63">
        <v>43077</v>
      </c>
      <c r="F377" s="61">
        <v>0.41969000000000001</v>
      </c>
      <c r="G377" s="63">
        <v>43077</v>
      </c>
      <c r="H377" s="61">
        <v>0.46135666666666669</v>
      </c>
      <c r="I377" s="55">
        <v>30</v>
      </c>
      <c r="J377" s="56" t="s">
        <v>232</v>
      </c>
      <c r="K377" s="75" t="s">
        <v>230</v>
      </c>
      <c r="L377" s="70">
        <v>0</v>
      </c>
    </row>
    <row r="378" spans="1:12" ht="15" customHeight="1">
      <c r="A378" s="53" t="s">
        <v>220</v>
      </c>
      <c r="B378" s="53" t="s">
        <v>191</v>
      </c>
      <c r="C378" s="54">
        <f t="shared" si="10"/>
        <v>43093.697659999998</v>
      </c>
      <c r="D378" s="54">
        <f t="shared" si="11"/>
        <v>43093.73932666667</v>
      </c>
      <c r="E378" s="63">
        <v>43093</v>
      </c>
      <c r="F378" s="61">
        <v>0.69765999999999995</v>
      </c>
      <c r="G378" s="63">
        <v>43093</v>
      </c>
      <c r="H378" s="61">
        <v>0.73932666666666658</v>
      </c>
      <c r="I378" s="55">
        <v>30</v>
      </c>
      <c r="J378" s="56" t="s">
        <v>232</v>
      </c>
      <c r="K378" s="75" t="s">
        <v>231</v>
      </c>
      <c r="L378" s="70">
        <v>0</v>
      </c>
    </row>
    <row r="379" spans="1:12" ht="15" customHeight="1">
      <c r="A379" s="53" t="s">
        <v>220</v>
      </c>
      <c r="B379" s="53" t="s">
        <v>192</v>
      </c>
      <c r="C379" s="54">
        <f t="shared" si="10"/>
        <v>42837.715080000002</v>
      </c>
      <c r="D379" s="54">
        <f t="shared" si="11"/>
        <v>42837.756746666666</v>
      </c>
      <c r="E379" s="63">
        <v>42837</v>
      </c>
      <c r="F379" s="61">
        <v>0.71508000000000005</v>
      </c>
      <c r="G379" s="63">
        <v>42837</v>
      </c>
      <c r="H379" s="61">
        <v>0.75674666666666668</v>
      </c>
      <c r="I379" s="55">
        <v>30</v>
      </c>
      <c r="J379" s="56" t="s">
        <v>229</v>
      </c>
      <c r="K379" s="75" t="s">
        <v>228</v>
      </c>
      <c r="L379" s="70">
        <v>0</v>
      </c>
    </row>
    <row r="380" spans="1:12" ht="15" customHeight="1">
      <c r="A380" s="53" t="s">
        <v>219</v>
      </c>
      <c r="B380" s="53" t="s">
        <v>193</v>
      </c>
      <c r="C380" s="54">
        <f t="shared" si="10"/>
        <v>43001.692569999999</v>
      </c>
      <c r="D380" s="54">
        <f t="shared" si="11"/>
        <v>43001.734236666663</v>
      </c>
      <c r="E380" s="63">
        <v>43001</v>
      </c>
      <c r="F380" s="61">
        <v>0.69257000000000002</v>
      </c>
      <c r="G380" s="63">
        <v>43001</v>
      </c>
      <c r="H380" s="61">
        <v>0.73423666666666665</v>
      </c>
      <c r="I380" s="55">
        <v>30</v>
      </c>
      <c r="J380" s="56" t="s">
        <v>229</v>
      </c>
      <c r="K380" s="75" t="s">
        <v>230</v>
      </c>
      <c r="L380" s="70">
        <v>0</v>
      </c>
    </row>
    <row r="381" spans="1:12" ht="15" customHeight="1">
      <c r="A381" s="53" t="s">
        <v>218</v>
      </c>
      <c r="B381" s="53" t="s">
        <v>194</v>
      </c>
      <c r="C381" s="54">
        <f t="shared" si="10"/>
        <v>43051.751810000002</v>
      </c>
      <c r="D381" s="54">
        <f t="shared" si="11"/>
        <v>43051.793476666666</v>
      </c>
      <c r="E381" s="63">
        <v>43051</v>
      </c>
      <c r="F381" s="61">
        <v>0.75180999999999998</v>
      </c>
      <c r="G381" s="63">
        <v>43051</v>
      </c>
      <c r="H381" s="61">
        <v>0.79347666666666661</v>
      </c>
      <c r="I381" s="55">
        <v>30</v>
      </c>
      <c r="J381" s="56" t="s">
        <v>227</v>
      </c>
      <c r="K381" s="75" t="s">
        <v>230</v>
      </c>
      <c r="L381" s="70">
        <v>0</v>
      </c>
    </row>
    <row r="382" spans="1:12" ht="15" customHeight="1">
      <c r="A382" s="53" t="s">
        <v>219</v>
      </c>
      <c r="B382" s="53" t="s">
        <v>195</v>
      </c>
      <c r="C382" s="54">
        <f t="shared" si="10"/>
        <v>42887.379410000001</v>
      </c>
      <c r="D382" s="54">
        <f t="shared" si="11"/>
        <v>42887.421076666666</v>
      </c>
      <c r="E382" s="63">
        <v>42887</v>
      </c>
      <c r="F382" s="61">
        <v>0.37941000000000003</v>
      </c>
      <c r="G382" s="63">
        <v>42887</v>
      </c>
      <c r="H382" s="61">
        <v>0.42107666666666671</v>
      </c>
      <c r="I382" s="55">
        <v>30</v>
      </c>
      <c r="J382" s="56" t="s">
        <v>227</v>
      </c>
      <c r="K382" s="75" t="s">
        <v>228</v>
      </c>
      <c r="L382" s="70">
        <v>0</v>
      </c>
    </row>
    <row r="383" spans="1:12" ht="15" customHeight="1">
      <c r="A383" s="53" t="s">
        <v>220</v>
      </c>
      <c r="B383" s="53" t="s">
        <v>196</v>
      </c>
      <c r="C383" s="54">
        <f t="shared" si="10"/>
        <v>42785.583259999999</v>
      </c>
      <c r="D383" s="54">
        <f t="shared" si="11"/>
        <v>42785.624926666664</v>
      </c>
      <c r="E383" s="63">
        <v>42785</v>
      </c>
      <c r="F383" s="61">
        <v>0.58326</v>
      </c>
      <c r="G383" s="63">
        <v>42785</v>
      </c>
      <c r="H383" s="61">
        <v>0.62492666666666663</v>
      </c>
      <c r="I383" s="55">
        <v>30</v>
      </c>
      <c r="J383" s="56" t="s">
        <v>229</v>
      </c>
      <c r="K383" s="75" t="s">
        <v>231</v>
      </c>
      <c r="L383" s="70">
        <v>0</v>
      </c>
    </row>
    <row r="384" spans="1:12" ht="15" customHeight="1">
      <c r="A384" s="53" t="s">
        <v>217</v>
      </c>
      <c r="B384" s="53" t="s">
        <v>197</v>
      </c>
      <c r="C384" s="54">
        <f t="shared" si="10"/>
        <v>42929.331899999997</v>
      </c>
      <c r="D384" s="54">
        <f t="shared" si="11"/>
        <v>42929.373566666669</v>
      </c>
      <c r="E384" s="63">
        <v>42929</v>
      </c>
      <c r="F384" s="61">
        <v>0.33189999999999997</v>
      </c>
      <c r="G384" s="63">
        <v>42929</v>
      </c>
      <c r="H384" s="61">
        <v>0.37356666666666666</v>
      </c>
      <c r="I384" s="55">
        <v>30</v>
      </c>
      <c r="J384" s="56" t="s">
        <v>227</v>
      </c>
      <c r="K384" s="75" t="s">
        <v>228</v>
      </c>
      <c r="L384" s="70">
        <v>0</v>
      </c>
    </row>
    <row r="385" spans="1:12" ht="15" customHeight="1">
      <c r="A385" s="53" t="s">
        <v>219</v>
      </c>
      <c r="B385" s="53" t="s">
        <v>198</v>
      </c>
      <c r="C385" s="54">
        <f t="shared" si="10"/>
        <v>42831.643080000002</v>
      </c>
      <c r="D385" s="54">
        <f t="shared" si="11"/>
        <v>42831.684746666666</v>
      </c>
      <c r="E385" s="63">
        <v>42831</v>
      </c>
      <c r="F385" s="61">
        <v>0.64307999999999998</v>
      </c>
      <c r="G385" s="63">
        <v>42831</v>
      </c>
      <c r="H385" s="61">
        <v>0.68474666666666661</v>
      </c>
      <c r="I385" s="55">
        <v>30</v>
      </c>
      <c r="J385" s="56" t="s">
        <v>232</v>
      </c>
      <c r="K385" s="75" t="s">
        <v>228</v>
      </c>
      <c r="L385" s="70">
        <v>0</v>
      </c>
    </row>
    <row r="386" spans="1:12" ht="15" customHeight="1">
      <c r="A386" s="53" t="s">
        <v>219</v>
      </c>
      <c r="B386" s="53" t="s">
        <v>199</v>
      </c>
      <c r="C386" s="54">
        <f t="shared" si="10"/>
        <v>42777.47335</v>
      </c>
      <c r="D386" s="54">
        <f t="shared" si="11"/>
        <v>42777.515016666664</v>
      </c>
      <c r="E386" s="63">
        <v>42777</v>
      </c>
      <c r="F386" s="61">
        <v>0.47334999999999999</v>
      </c>
      <c r="G386" s="63">
        <v>42777</v>
      </c>
      <c r="H386" s="61">
        <v>0.51501666666666668</v>
      </c>
      <c r="I386" s="55">
        <v>30</v>
      </c>
      <c r="J386" s="56" t="s">
        <v>229</v>
      </c>
      <c r="K386" s="75" t="s">
        <v>228</v>
      </c>
      <c r="L386" s="70">
        <v>0</v>
      </c>
    </row>
    <row r="387" spans="1:12" ht="15" customHeight="1">
      <c r="A387" s="53" t="s">
        <v>218</v>
      </c>
      <c r="B387" s="53" t="s">
        <v>200</v>
      </c>
      <c r="C387" s="54">
        <f t="shared" ref="C387:C450" si="12">E387+F387</f>
        <v>42785.50505</v>
      </c>
      <c r="D387" s="54">
        <f t="shared" ref="D387:D450" si="13">G387+H387</f>
        <v>42785.546716666664</v>
      </c>
      <c r="E387" s="63">
        <v>42785</v>
      </c>
      <c r="F387" s="61">
        <v>0.50505</v>
      </c>
      <c r="G387" s="63">
        <v>42785</v>
      </c>
      <c r="H387" s="61">
        <v>0.54671666666666663</v>
      </c>
      <c r="I387" s="55">
        <v>30</v>
      </c>
      <c r="J387" s="56" t="s">
        <v>227</v>
      </c>
      <c r="K387" s="75" t="s">
        <v>230</v>
      </c>
      <c r="L387" s="70">
        <v>0</v>
      </c>
    </row>
    <row r="388" spans="1:12" ht="15" customHeight="1">
      <c r="A388" s="53" t="s">
        <v>220</v>
      </c>
      <c r="B388" s="53" t="s">
        <v>201</v>
      </c>
      <c r="C388" s="54">
        <f t="shared" si="12"/>
        <v>42910.343459999996</v>
      </c>
      <c r="D388" s="54">
        <f t="shared" si="13"/>
        <v>42910.385126666668</v>
      </c>
      <c r="E388" s="63">
        <v>42910</v>
      </c>
      <c r="F388" s="61">
        <v>0.34345999999999999</v>
      </c>
      <c r="G388" s="63">
        <v>42910</v>
      </c>
      <c r="H388" s="61">
        <v>0.38512666666666667</v>
      </c>
      <c r="I388" s="55">
        <v>30</v>
      </c>
      <c r="J388" s="56" t="s">
        <v>232</v>
      </c>
      <c r="K388" s="75" t="s">
        <v>230</v>
      </c>
      <c r="L388" s="70">
        <v>0</v>
      </c>
    </row>
    <row r="389" spans="1:12" ht="15" customHeight="1">
      <c r="A389" s="53" t="s">
        <v>217</v>
      </c>
      <c r="B389" s="53" t="s">
        <v>202</v>
      </c>
      <c r="C389" s="54">
        <f t="shared" si="12"/>
        <v>42837.439079999996</v>
      </c>
      <c r="D389" s="54">
        <f t="shared" si="13"/>
        <v>42837.480746666668</v>
      </c>
      <c r="E389" s="63">
        <v>42837</v>
      </c>
      <c r="F389" s="61">
        <v>0.43908000000000003</v>
      </c>
      <c r="G389" s="63">
        <v>42837</v>
      </c>
      <c r="H389" s="61">
        <v>0.48074666666666671</v>
      </c>
      <c r="I389" s="55">
        <v>30</v>
      </c>
      <c r="J389" s="56" t="s">
        <v>229</v>
      </c>
      <c r="K389" s="75" t="s">
        <v>228</v>
      </c>
      <c r="L389" s="70">
        <v>0</v>
      </c>
    </row>
    <row r="390" spans="1:12" ht="15" customHeight="1">
      <c r="A390" s="53" t="s">
        <v>216</v>
      </c>
      <c r="B390" s="53" t="s">
        <v>203</v>
      </c>
      <c r="C390" s="54">
        <f t="shared" si="12"/>
        <v>43095.47236</v>
      </c>
      <c r="D390" s="54">
        <f t="shared" si="13"/>
        <v>43095.514026666664</v>
      </c>
      <c r="E390" s="63">
        <v>43095</v>
      </c>
      <c r="F390" s="61">
        <v>0.47236</v>
      </c>
      <c r="G390" s="63">
        <v>43095</v>
      </c>
      <c r="H390" s="61">
        <v>0.51402666666666663</v>
      </c>
      <c r="I390" s="55">
        <v>30</v>
      </c>
      <c r="J390" s="56" t="s">
        <v>229</v>
      </c>
      <c r="K390" s="75" t="s">
        <v>228</v>
      </c>
      <c r="L390" s="70">
        <v>0</v>
      </c>
    </row>
    <row r="391" spans="1:12" ht="15" customHeight="1">
      <c r="A391" s="53" t="s">
        <v>220</v>
      </c>
      <c r="B391" s="53" t="s">
        <v>204</v>
      </c>
      <c r="C391" s="54">
        <f t="shared" si="12"/>
        <v>42970.609839999997</v>
      </c>
      <c r="D391" s="54">
        <f t="shared" si="13"/>
        <v>42970.651506666669</v>
      </c>
      <c r="E391" s="63">
        <v>42970</v>
      </c>
      <c r="F391" s="61">
        <v>0.60984000000000005</v>
      </c>
      <c r="G391" s="63">
        <v>42970</v>
      </c>
      <c r="H391" s="61">
        <v>0.65150666666666668</v>
      </c>
      <c r="I391" s="55">
        <v>30</v>
      </c>
      <c r="J391" s="56" t="s">
        <v>227</v>
      </c>
      <c r="K391" s="75" t="s">
        <v>228</v>
      </c>
      <c r="L391" s="70">
        <v>0</v>
      </c>
    </row>
    <row r="392" spans="1:12" ht="15" customHeight="1">
      <c r="A392" s="53" t="s">
        <v>219</v>
      </c>
      <c r="B392" s="53" t="s">
        <v>205</v>
      </c>
      <c r="C392" s="54">
        <f t="shared" si="12"/>
        <v>42868.571430000004</v>
      </c>
      <c r="D392" s="54">
        <f t="shared" si="13"/>
        <v>42868.613096666668</v>
      </c>
      <c r="E392" s="63">
        <v>42868</v>
      </c>
      <c r="F392" s="61">
        <v>0.57142999999999999</v>
      </c>
      <c r="G392" s="63">
        <v>42868</v>
      </c>
      <c r="H392" s="61">
        <v>0.61309666666666662</v>
      </c>
      <c r="I392" s="55">
        <v>30</v>
      </c>
      <c r="J392" s="56" t="s">
        <v>227</v>
      </c>
      <c r="K392" s="75" t="s">
        <v>228</v>
      </c>
      <c r="L392" s="70">
        <v>0</v>
      </c>
    </row>
    <row r="393" spans="1:12" ht="15" customHeight="1">
      <c r="A393" s="53" t="s">
        <v>216</v>
      </c>
      <c r="B393" s="53" t="s">
        <v>206</v>
      </c>
      <c r="C393" s="54">
        <f t="shared" si="12"/>
        <v>42936.659800000001</v>
      </c>
      <c r="D393" s="54">
        <f t="shared" si="13"/>
        <v>42936.701466666666</v>
      </c>
      <c r="E393" s="63">
        <v>42936</v>
      </c>
      <c r="F393" s="61">
        <v>0.65980000000000005</v>
      </c>
      <c r="G393" s="63">
        <v>42936</v>
      </c>
      <c r="H393" s="61">
        <v>0.70146666666666668</v>
      </c>
      <c r="I393" s="55">
        <v>30</v>
      </c>
      <c r="J393" s="56" t="s">
        <v>229</v>
      </c>
      <c r="K393" s="75" t="s">
        <v>231</v>
      </c>
      <c r="L393" s="70">
        <v>0</v>
      </c>
    </row>
    <row r="394" spans="1:12" ht="15" customHeight="1">
      <c r="A394" s="53" t="s">
        <v>218</v>
      </c>
      <c r="B394" s="53" t="s">
        <v>207</v>
      </c>
      <c r="C394" s="54">
        <f t="shared" si="12"/>
        <v>42971.74656</v>
      </c>
      <c r="D394" s="54">
        <f t="shared" si="13"/>
        <v>42971.788226666664</v>
      </c>
      <c r="E394" s="63">
        <v>42971</v>
      </c>
      <c r="F394" s="61">
        <v>0.74656</v>
      </c>
      <c r="G394" s="63">
        <v>42971</v>
      </c>
      <c r="H394" s="61">
        <v>0.78822666666666663</v>
      </c>
      <c r="I394" s="55">
        <v>30</v>
      </c>
      <c r="J394" s="56" t="s">
        <v>232</v>
      </c>
      <c r="K394" s="75" t="s">
        <v>230</v>
      </c>
      <c r="L394" s="70">
        <v>0</v>
      </c>
    </row>
    <row r="395" spans="1:12" ht="15" customHeight="1">
      <c r="A395" s="53" t="s">
        <v>216</v>
      </c>
      <c r="B395" s="53" t="s">
        <v>208</v>
      </c>
      <c r="C395" s="54">
        <f t="shared" si="12"/>
        <v>43045.666369999999</v>
      </c>
      <c r="D395" s="54">
        <f t="shared" si="13"/>
        <v>43045.708036666663</v>
      </c>
      <c r="E395" s="63">
        <v>43045</v>
      </c>
      <c r="F395" s="61">
        <v>0.66637000000000002</v>
      </c>
      <c r="G395" s="63">
        <v>43045</v>
      </c>
      <c r="H395" s="61">
        <v>0.70803666666666665</v>
      </c>
      <c r="I395" s="55">
        <v>30</v>
      </c>
      <c r="J395" s="56" t="s">
        <v>227</v>
      </c>
      <c r="K395" s="75" t="s">
        <v>231</v>
      </c>
      <c r="L395" s="70">
        <v>0</v>
      </c>
    </row>
    <row r="396" spans="1:12" ht="15" customHeight="1">
      <c r="A396" s="53" t="s">
        <v>220</v>
      </c>
      <c r="B396" s="53" t="s">
        <v>209</v>
      </c>
      <c r="C396" s="54">
        <f t="shared" si="12"/>
        <v>42761.563589999998</v>
      </c>
      <c r="D396" s="54">
        <f t="shared" si="13"/>
        <v>42761.605256666669</v>
      </c>
      <c r="E396" s="63">
        <v>42761</v>
      </c>
      <c r="F396" s="61">
        <v>0.56359000000000004</v>
      </c>
      <c r="G396" s="63">
        <v>42761</v>
      </c>
      <c r="H396" s="61">
        <v>0.60525666666666667</v>
      </c>
      <c r="I396" s="55">
        <v>30</v>
      </c>
      <c r="J396" s="56" t="s">
        <v>227</v>
      </c>
      <c r="K396" s="75" t="s">
        <v>231</v>
      </c>
      <c r="L396" s="70">
        <v>0</v>
      </c>
    </row>
    <row r="397" spans="1:12" ht="15" customHeight="1">
      <c r="A397" s="53" t="s">
        <v>220</v>
      </c>
      <c r="B397" s="59" t="s">
        <v>210</v>
      </c>
      <c r="C397" s="54">
        <f t="shared" si="12"/>
        <v>42880.722719999998</v>
      </c>
      <c r="D397" s="54">
        <f t="shared" si="13"/>
        <v>42880.764386666669</v>
      </c>
      <c r="E397" s="63">
        <v>42880</v>
      </c>
      <c r="F397" s="61">
        <v>0.72272000000000003</v>
      </c>
      <c r="G397" s="63">
        <v>42880</v>
      </c>
      <c r="H397" s="61">
        <v>0.76438666666666666</v>
      </c>
      <c r="I397" s="55">
        <v>30</v>
      </c>
      <c r="J397" s="56" t="s">
        <v>227</v>
      </c>
      <c r="K397" s="75" t="s">
        <v>230</v>
      </c>
      <c r="L397" s="70">
        <v>0</v>
      </c>
    </row>
    <row r="398" spans="1:12" ht="15" customHeight="1">
      <c r="A398" s="53" t="s">
        <v>218</v>
      </c>
      <c r="B398" s="53" t="s">
        <v>211</v>
      </c>
      <c r="C398" s="54">
        <f t="shared" si="12"/>
        <v>42851.49697</v>
      </c>
      <c r="D398" s="54">
        <f t="shared" si="13"/>
        <v>42851.538636666664</v>
      </c>
      <c r="E398" s="63">
        <v>42851</v>
      </c>
      <c r="F398" s="61">
        <v>0.49697000000000002</v>
      </c>
      <c r="G398" s="63">
        <v>42851</v>
      </c>
      <c r="H398" s="61">
        <v>0.53863666666666665</v>
      </c>
      <c r="I398" s="55">
        <v>30</v>
      </c>
      <c r="J398" s="56" t="s">
        <v>232</v>
      </c>
      <c r="K398" s="75" t="s">
        <v>230</v>
      </c>
      <c r="L398" s="70">
        <v>0</v>
      </c>
    </row>
    <row r="399" spans="1:12" ht="15" customHeight="1">
      <c r="A399" s="53" t="s">
        <v>218</v>
      </c>
      <c r="B399" s="53" t="s">
        <v>212</v>
      </c>
      <c r="C399" s="54">
        <f t="shared" si="12"/>
        <v>43018.60295</v>
      </c>
      <c r="D399" s="54">
        <f t="shared" si="13"/>
        <v>43018.644616666665</v>
      </c>
      <c r="E399" s="63">
        <v>43018</v>
      </c>
      <c r="F399" s="61">
        <v>0.60294999999999999</v>
      </c>
      <c r="G399" s="63">
        <v>43018</v>
      </c>
      <c r="H399" s="61">
        <v>0.64461666666666662</v>
      </c>
      <c r="I399" s="55">
        <v>30</v>
      </c>
      <c r="J399" s="56" t="s">
        <v>229</v>
      </c>
      <c r="K399" s="75" t="s">
        <v>231</v>
      </c>
      <c r="L399" s="70">
        <v>0</v>
      </c>
    </row>
    <row r="400" spans="1:12" ht="15" customHeight="1">
      <c r="A400" s="53" t="s">
        <v>220</v>
      </c>
      <c r="B400" s="53" t="s">
        <v>213</v>
      </c>
      <c r="C400" s="54">
        <f t="shared" si="12"/>
        <v>43017.637040000001</v>
      </c>
      <c r="D400" s="54">
        <f t="shared" si="13"/>
        <v>43017.678706666666</v>
      </c>
      <c r="E400" s="63">
        <v>43017</v>
      </c>
      <c r="F400" s="61">
        <v>0.63704000000000005</v>
      </c>
      <c r="G400" s="63">
        <v>43017</v>
      </c>
      <c r="H400" s="61">
        <v>0.67870666666666668</v>
      </c>
      <c r="I400" s="55">
        <v>30</v>
      </c>
      <c r="J400" s="56" t="s">
        <v>232</v>
      </c>
      <c r="K400" s="75" t="s">
        <v>228</v>
      </c>
      <c r="L400" s="70">
        <v>0</v>
      </c>
    </row>
    <row r="401" spans="1:12" ht="15" customHeight="1">
      <c r="A401" s="53" t="s">
        <v>220</v>
      </c>
      <c r="B401" s="53" t="s">
        <v>214</v>
      </c>
      <c r="C401" s="54">
        <f t="shared" si="12"/>
        <v>43045.42022</v>
      </c>
      <c r="D401" s="54">
        <f t="shared" si="13"/>
        <v>43045.461886666664</v>
      </c>
      <c r="E401" s="63">
        <v>43045</v>
      </c>
      <c r="F401" s="61">
        <v>0.42021999999999998</v>
      </c>
      <c r="G401" s="63">
        <v>43045</v>
      </c>
      <c r="H401" s="61">
        <v>0.46188666666666667</v>
      </c>
      <c r="I401" s="55">
        <v>30</v>
      </c>
      <c r="J401" s="56" t="s">
        <v>227</v>
      </c>
      <c r="K401" s="75" t="s">
        <v>230</v>
      </c>
      <c r="L401" s="70">
        <v>0</v>
      </c>
    </row>
    <row r="402" spans="1:12" ht="15" customHeight="1">
      <c r="A402" s="53" t="s">
        <v>220</v>
      </c>
      <c r="B402" s="53" t="s">
        <v>15</v>
      </c>
      <c r="C402" s="54">
        <f t="shared" si="12"/>
        <v>43006.463170000003</v>
      </c>
      <c r="D402" s="54">
        <f t="shared" si="13"/>
        <v>43006.504836666667</v>
      </c>
      <c r="E402" s="63">
        <v>43006</v>
      </c>
      <c r="F402" s="61">
        <v>0.46317000000000003</v>
      </c>
      <c r="G402" s="63">
        <v>43006</v>
      </c>
      <c r="H402" s="61">
        <v>0.50483666666666671</v>
      </c>
      <c r="I402" s="55">
        <v>30</v>
      </c>
      <c r="J402" s="56" t="s">
        <v>227</v>
      </c>
      <c r="K402" s="75" t="s">
        <v>231</v>
      </c>
      <c r="L402" s="70">
        <v>0</v>
      </c>
    </row>
    <row r="403" spans="1:12" ht="15" customHeight="1">
      <c r="A403" s="53" t="s">
        <v>219</v>
      </c>
      <c r="B403" s="53" t="s">
        <v>16</v>
      </c>
      <c r="C403" s="54">
        <f t="shared" si="12"/>
        <v>42889.757960000003</v>
      </c>
      <c r="D403" s="54">
        <f t="shared" si="13"/>
        <v>42889.799626666667</v>
      </c>
      <c r="E403" s="63">
        <v>42889</v>
      </c>
      <c r="F403" s="61">
        <v>0.75795999999999997</v>
      </c>
      <c r="G403" s="63">
        <v>42889</v>
      </c>
      <c r="H403" s="61">
        <v>0.7996266666666666</v>
      </c>
      <c r="I403" s="55">
        <v>30</v>
      </c>
      <c r="J403" s="56" t="s">
        <v>232</v>
      </c>
      <c r="K403" s="75" t="s">
        <v>231</v>
      </c>
      <c r="L403" s="70">
        <v>0</v>
      </c>
    </row>
    <row r="404" spans="1:12" ht="15" customHeight="1">
      <c r="A404" s="53" t="s">
        <v>219</v>
      </c>
      <c r="B404" s="53" t="s">
        <v>17</v>
      </c>
      <c r="C404" s="54">
        <f t="shared" si="12"/>
        <v>42782.636440000002</v>
      </c>
      <c r="D404" s="54">
        <f t="shared" si="13"/>
        <v>42782.678106666666</v>
      </c>
      <c r="E404" s="63">
        <v>42782</v>
      </c>
      <c r="F404" s="61">
        <v>0.63644000000000001</v>
      </c>
      <c r="G404" s="63">
        <v>42782</v>
      </c>
      <c r="H404" s="61">
        <v>0.67810666666666664</v>
      </c>
      <c r="I404" s="55">
        <v>30</v>
      </c>
      <c r="J404" s="56" t="s">
        <v>229</v>
      </c>
      <c r="K404" s="75" t="s">
        <v>231</v>
      </c>
      <c r="L404" s="70">
        <v>0</v>
      </c>
    </row>
    <row r="405" spans="1:12" ht="15" customHeight="1">
      <c r="A405" s="53" t="s">
        <v>216</v>
      </c>
      <c r="B405" s="53" t="s">
        <v>18</v>
      </c>
      <c r="C405" s="54">
        <f t="shared" si="12"/>
        <v>42818.761599999998</v>
      </c>
      <c r="D405" s="54">
        <f t="shared" si="13"/>
        <v>42818.80326666667</v>
      </c>
      <c r="E405" s="63">
        <v>42818</v>
      </c>
      <c r="F405" s="61">
        <v>0.76160000000000005</v>
      </c>
      <c r="G405" s="63">
        <v>42818</v>
      </c>
      <c r="H405" s="61">
        <v>0.80326666666666668</v>
      </c>
      <c r="I405" s="55">
        <v>30</v>
      </c>
      <c r="J405" s="56" t="s">
        <v>227</v>
      </c>
      <c r="K405" s="75" t="s">
        <v>228</v>
      </c>
      <c r="L405" s="70">
        <v>0</v>
      </c>
    </row>
    <row r="406" spans="1:12" ht="15" customHeight="1">
      <c r="A406" s="53" t="s">
        <v>219</v>
      </c>
      <c r="B406" s="53" t="s">
        <v>19</v>
      </c>
      <c r="C406" s="54">
        <f t="shared" si="12"/>
        <v>43023.614509999999</v>
      </c>
      <c r="D406" s="54">
        <f t="shared" si="13"/>
        <v>43023.656176666664</v>
      </c>
      <c r="E406" s="63">
        <v>43023</v>
      </c>
      <c r="F406" s="61">
        <v>0.61451</v>
      </c>
      <c r="G406" s="63">
        <v>43023</v>
      </c>
      <c r="H406" s="61">
        <v>0.65617666666666663</v>
      </c>
      <c r="I406" s="55">
        <v>30</v>
      </c>
      <c r="J406" s="56" t="s">
        <v>232</v>
      </c>
      <c r="K406" s="75" t="s">
        <v>231</v>
      </c>
      <c r="L406" s="70">
        <v>0</v>
      </c>
    </row>
    <row r="407" spans="1:12" ht="15" customHeight="1">
      <c r="A407" s="53" t="s">
        <v>220</v>
      </c>
      <c r="B407" s="53" t="s">
        <v>20</v>
      </c>
      <c r="C407" s="54">
        <f t="shared" si="12"/>
        <v>42766.640670000001</v>
      </c>
      <c r="D407" s="54">
        <f t="shared" si="13"/>
        <v>42766.682336666665</v>
      </c>
      <c r="E407" s="63">
        <v>42766</v>
      </c>
      <c r="F407" s="61">
        <v>0.64066999999999996</v>
      </c>
      <c r="G407" s="63">
        <v>42766</v>
      </c>
      <c r="H407" s="61">
        <v>0.68233666666666659</v>
      </c>
      <c r="I407" s="55">
        <v>30</v>
      </c>
      <c r="J407" s="56" t="s">
        <v>232</v>
      </c>
      <c r="K407" s="75" t="s">
        <v>231</v>
      </c>
      <c r="L407" s="70">
        <v>0</v>
      </c>
    </row>
    <row r="408" spans="1:12" ht="15" customHeight="1">
      <c r="A408" s="53" t="s">
        <v>219</v>
      </c>
      <c r="B408" s="57" t="s">
        <v>21</v>
      </c>
      <c r="C408" s="54">
        <f t="shared" si="12"/>
        <v>42931.715819999998</v>
      </c>
      <c r="D408" s="54">
        <f t="shared" si="13"/>
        <v>42931.757486666669</v>
      </c>
      <c r="E408" s="63">
        <v>42931</v>
      </c>
      <c r="F408" s="61">
        <v>0.71582000000000001</v>
      </c>
      <c r="G408" s="63">
        <v>42931</v>
      </c>
      <c r="H408" s="61">
        <v>0.75748666666666664</v>
      </c>
      <c r="I408" s="55">
        <v>30</v>
      </c>
      <c r="J408" s="56" t="s">
        <v>232</v>
      </c>
      <c r="K408" s="75" t="s">
        <v>228</v>
      </c>
      <c r="L408" s="70">
        <v>0</v>
      </c>
    </row>
    <row r="409" spans="1:12" ht="15" customHeight="1">
      <c r="A409" s="53" t="s">
        <v>218</v>
      </c>
      <c r="B409" s="53" t="s">
        <v>22</v>
      </c>
      <c r="C409" s="54">
        <f t="shared" si="12"/>
        <v>42936.466379999998</v>
      </c>
      <c r="D409" s="54">
        <f t="shared" si="13"/>
        <v>42936.50804666667</v>
      </c>
      <c r="E409" s="63">
        <v>42936</v>
      </c>
      <c r="F409" s="61">
        <v>0.46638000000000002</v>
      </c>
      <c r="G409" s="63">
        <v>42936</v>
      </c>
      <c r="H409" s="61">
        <v>0.50804666666666665</v>
      </c>
      <c r="I409" s="55">
        <v>30</v>
      </c>
      <c r="J409" s="56" t="s">
        <v>227</v>
      </c>
      <c r="K409" s="75" t="s">
        <v>231</v>
      </c>
      <c r="L409" s="70">
        <v>0</v>
      </c>
    </row>
    <row r="410" spans="1:12" ht="15" customHeight="1">
      <c r="A410" s="53" t="s">
        <v>217</v>
      </c>
      <c r="B410" s="53" t="s">
        <v>23</v>
      </c>
      <c r="C410" s="54">
        <f t="shared" si="12"/>
        <v>42761.394630000003</v>
      </c>
      <c r="D410" s="54">
        <f t="shared" si="13"/>
        <v>42761.436296666667</v>
      </c>
      <c r="E410" s="63">
        <v>42761</v>
      </c>
      <c r="F410" s="61">
        <v>0.39462999999999998</v>
      </c>
      <c r="G410" s="63">
        <v>42761</v>
      </c>
      <c r="H410" s="61">
        <v>0.43629666666666667</v>
      </c>
      <c r="I410" s="55">
        <v>30</v>
      </c>
      <c r="J410" s="56" t="s">
        <v>227</v>
      </c>
      <c r="K410" s="75" t="s">
        <v>230</v>
      </c>
      <c r="L410" s="70">
        <v>0</v>
      </c>
    </row>
    <row r="411" spans="1:12" ht="15" customHeight="1">
      <c r="A411" s="53" t="s">
        <v>216</v>
      </c>
      <c r="B411" s="53" t="s">
        <v>24</v>
      </c>
      <c r="C411" s="54">
        <f t="shared" si="12"/>
        <v>43090.610610000003</v>
      </c>
      <c r="D411" s="54">
        <f t="shared" si="13"/>
        <v>43090.652276666668</v>
      </c>
      <c r="E411" s="63">
        <v>43090</v>
      </c>
      <c r="F411" s="61">
        <v>0.61060999999999999</v>
      </c>
      <c r="G411" s="63">
        <v>43090</v>
      </c>
      <c r="H411" s="61">
        <v>0.65227666666666662</v>
      </c>
      <c r="I411" s="55">
        <v>30</v>
      </c>
      <c r="J411" s="56" t="s">
        <v>229</v>
      </c>
      <c r="K411" s="75" t="s">
        <v>228</v>
      </c>
      <c r="L411" s="70">
        <v>0</v>
      </c>
    </row>
    <row r="412" spans="1:12" ht="15" customHeight="1">
      <c r="A412" s="53" t="s">
        <v>220</v>
      </c>
      <c r="B412" s="53" t="s">
        <v>25</v>
      </c>
      <c r="C412" s="54">
        <f t="shared" si="12"/>
        <v>42766.7042</v>
      </c>
      <c r="D412" s="54">
        <f t="shared" si="13"/>
        <v>42766.745866666664</v>
      </c>
      <c r="E412" s="63">
        <v>42766</v>
      </c>
      <c r="F412" s="61">
        <v>0.70420000000000005</v>
      </c>
      <c r="G412" s="63">
        <v>42766</v>
      </c>
      <c r="H412" s="61">
        <v>0.74586666666666668</v>
      </c>
      <c r="I412" s="55">
        <v>30</v>
      </c>
      <c r="J412" s="56" t="s">
        <v>232</v>
      </c>
      <c r="K412" s="75" t="s">
        <v>230</v>
      </c>
      <c r="L412" s="70">
        <v>0</v>
      </c>
    </row>
    <row r="413" spans="1:12" ht="15" customHeight="1">
      <c r="A413" s="53" t="s">
        <v>217</v>
      </c>
      <c r="B413" s="53" t="s">
        <v>26</v>
      </c>
      <c r="C413" s="54">
        <f t="shared" si="12"/>
        <v>42885.663330000003</v>
      </c>
      <c r="D413" s="54">
        <f t="shared" si="13"/>
        <v>42885.704996666667</v>
      </c>
      <c r="E413" s="63">
        <v>42885</v>
      </c>
      <c r="F413" s="61">
        <v>0.66332999999999998</v>
      </c>
      <c r="G413" s="63">
        <v>42885</v>
      </c>
      <c r="H413" s="61">
        <v>0.7049966666666666</v>
      </c>
      <c r="I413" s="55">
        <v>30</v>
      </c>
      <c r="J413" s="56" t="s">
        <v>232</v>
      </c>
      <c r="K413" s="75" t="s">
        <v>230</v>
      </c>
      <c r="L413" s="70">
        <v>0</v>
      </c>
    </row>
    <row r="414" spans="1:12" ht="15" customHeight="1">
      <c r="A414" s="53" t="s">
        <v>220</v>
      </c>
      <c r="B414" s="53" t="s">
        <v>27</v>
      </c>
      <c r="C414" s="54">
        <f t="shared" si="12"/>
        <v>42934.624219999998</v>
      </c>
      <c r="D414" s="54">
        <f t="shared" si="13"/>
        <v>42934.665886666669</v>
      </c>
      <c r="E414" s="63">
        <v>42934</v>
      </c>
      <c r="F414" s="61">
        <v>0.62422</v>
      </c>
      <c r="G414" s="63">
        <v>42934</v>
      </c>
      <c r="H414" s="61">
        <v>0.66588666666666663</v>
      </c>
      <c r="I414" s="55">
        <v>30</v>
      </c>
      <c r="J414" s="56" t="s">
        <v>227</v>
      </c>
      <c r="K414" s="75" t="s">
        <v>231</v>
      </c>
      <c r="L414" s="70">
        <v>0</v>
      </c>
    </row>
    <row r="415" spans="1:12" ht="15" customHeight="1">
      <c r="A415" s="53" t="s">
        <v>218</v>
      </c>
      <c r="B415" s="53" t="s">
        <v>28</v>
      </c>
      <c r="C415" s="54">
        <f t="shared" si="12"/>
        <v>42966.605190000002</v>
      </c>
      <c r="D415" s="54">
        <f t="shared" si="13"/>
        <v>42966.646856666666</v>
      </c>
      <c r="E415" s="63">
        <v>42966</v>
      </c>
      <c r="F415" s="61">
        <v>0.60519000000000001</v>
      </c>
      <c r="G415" s="63">
        <v>42966</v>
      </c>
      <c r="H415" s="61">
        <v>0.64685666666666664</v>
      </c>
      <c r="I415" s="55">
        <v>30</v>
      </c>
      <c r="J415" s="56" t="s">
        <v>229</v>
      </c>
      <c r="K415" s="75" t="s">
        <v>231</v>
      </c>
      <c r="L415" s="70">
        <v>0</v>
      </c>
    </row>
    <row r="416" spans="1:12" ht="15" customHeight="1">
      <c r="A416" s="53" t="s">
        <v>220</v>
      </c>
      <c r="B416" s="53" t="s">
        <v>29</v>
      </c>
      <c r="C416" s="54">
        <f t="shared" si="12"/>
        <v>42827.437689999999</v>
      </c>
      <c r="D416" s="54">
        <f t="shared" si="13"/>
        <v>42827.479356666663</v>
      </c>
      <c r="E416" s="63">
        <v>42827</v>
      </c>
      <c r="F416" s="61">
        <v>0.43769000000000002</v>
      </c>
      <c r="G416" s="63">
        <v>42827</v>
      </c>
      <c r="H416" s="61">
        <v>0.47935666666666671</v>
      </c>
      <c r="I416" s="55">
        <v>30</v>
      </c>
      <c r="J416" s="56" t="s">
        <v>232</v>
      </c>
      <c r="K416" s="75" t="s">
        <v>230</v>
      </c>
      <c r="L416" s="70">
        <v>0</v>
      </c>
    </row>
    <row r="417" spans="1:12" ht="15" customHeight="1">
      <c r="A417" s="53" t="s">
        <v>217</v>
      </c>
      <c r="B417" s="53" t="s">
        <v>30</v>
      </c>
      <c r="C417" s="54">
        <f t="shared" si="12"/>
        <v>42989.531199999998</v>
      </c>
      <c r="D417" s="54">
        <f t="shared" si="13"/>
        <v>42989.572866666669</v>
      </c>
      <c r="E417" s="63">
        <v>42989</v>
      </c>
      <c r="F417" s="61">
        <v>0.53120000000000001</v>
      </c>
      <c r="G417" s="63">
        <v>42989</v>
      </c>
      <c r="H417" s="61">
        <v>0.57286666666666664</v>
      </c>
      <c r="I417" s="55">
        <v>30</v>
      </c>
      <c r="J417" s="56" t="s">
        <v>229</v>
      </c>
      <c r="K417" s="75" t="s">
        <v>230</v>
      </c>
      <c r="L417" s="70">
        <v>0</v>
      </c>
    </row>
    <row r="418" spans="1:12" ht="15" customHeight="1">
      <c r="A418" s="53" t="s">
        <v>218</v>
      </c>
      <c r="B418" s="53" t="s">
        <v>31</v>
      </c>
      <c r="C418" s="54">
        <f t="shared" si="12"/>
        <v>42830.391259999997</v>
      </c>
      <c r="D418" s="54">
        <f t="shared" si="13"/>
        <v>42830.432926666668</v>
      </c>
      <c r="E418" s="63">
        <v>42830</v>
      </c>
      <c r="F418" s="61">
        <v>0.39126</v>
      </c>
      <c r="G418" s="63">
        <v>42830</v>
      </c>
      <c r="H418" s="61">
        <v>0.43292666666666668</v>
      </c>
      <c r="I418" s="55">
        <v>30</v>
      </c>
      <c r="J418" s="56" t="s">
        <v>232</v>
      </c>
      <c r="K418" s="75" t="s">
        <v>230</v>
      </c>
      <c r="L418" s="70">
        <v>0</v>
      </c>
    </row>
    <row r="419" spans="1:12" ht="15" customHeight="1">
      <c r="A419" s="53" t="s">
        <v>216</v>
      </c>
      <c r="B419" s="53" t="s">
        <v>32</v>
      </c>
      <c r="C419" s="54">
        <f t="shared" si="12"/>
        <v>42837.640489999998</v>
      </c>
      <c r="D419" s="54">
        <f t="shared" si="13"/>
        <v>42837.682156666669</v>
      </c>
      <c r="E419" s="63">
        <v>42837</v>
      </c>
      <c r="F419" s="61">
        <v>0.64049</v>
      </c>
      <c r="G419" s="63">
        <v>42837</v>
      </c>
      <c r="H419" s="61">
        <v>0.68215666666666663</v>
      </c>
      <c r="I419" s="55">
        <v>30</v>
      </c>
      <c r="J419" s="56" t="s">
        <v>227</v>
      </c>
      <c r="K419" s="75" t="s">
        <v>231</v>
      </c>
      <c r="L419" s="70">
        <v>0</v>
      </c>
    </row>
    <row r="420" spans="1:12" ht="15" customHeight="1">
      <c r="A420" s="53" t="s">
        <v>219</v>
      </c>
      <c r="B420" s="53" t="s">
        <v>33</v>
      </c>
      <c r="C420" s="54">
        <f t="shared" si="12"/>
        <v>43030.489249999999</v>
      </c>
      <c r="D420" s="54">
        <f t="shared" si="13"/>
        <v>43030.53091666667</v>
      </c>
      <c r="E420" s="63">
        <v>43030</v>
      </c>
      <c r="F420" s="61">
        <v>0.48925000000000002</v>
      </c>
      <c r="G420" s="63">
        <v>43030</v>
      </c>
      <c r="H420" s="61">
        <v>0.5309166666666667</v>
      </c>
      <c r="I420" s="55">
        <v>30</v>
      </c>
      <c r="J420" s="56" t="s">
        <v>227</v>
      </c>
      <c r="K420" s="75" t="s">
        <v>230</v>
      </c>
      <c r="L420" s="70">
        <v>0</v>
      </c>
    </row>
    <row r="421" spans="1:12" ht="15" customHeight="1">
      <c r="A421" s="53" t="s">
        <v>220</v>
      </c>
      <c r="B421" s="53" t="s">
        <v>34</v>
      </c>
      <c r="C421" s="54">
        <f t="shared" si="12"/>
        <v>42993.49712</v>
      </c>
      <c r="D421" s="54">
        <f t="shared" si="13"/>
        <v>42993.538786666664</v>
      </c>
      <c r="E421" s="63">
        <v>42993</v>
      </c>
      <c r="F421" s="61">
        <v>0.49712000000000001</v>
      </c>
      <c r="G421" s="63">
        <v>42993</v>
      </c>
      <c r="H421" s="61">
        <v>0.53878666666666664</v>
      </c>
      <c r="I421" s="55">
        <v>30</v>
      </c>
      <c r="J421" s="56" t="s">
        <v>227</v>
      </c>
      <c r="K421" s="75" t="s">
        <v>230</v>
      </c>
      <c r="L421" s="70">
        <v>0</v>
      </c>
    </row>
    <row r="422" spans="1:12" ht="15" customHeight="1">
      <c r="A422" s="53" t="s">
        <v>218</v>
      </c>
      <c r="B422" s="53" t="s">
        <v>35</v>
      </c>
      <c r="C422" s="54">
        <f t="shared" si="12"/>
        <v>42867.395230000002</v>
      </c>
      <c r="D422" s="54">
        <f t="shared" si="13"/>
        <v>42867.436896666666</v>
      </c>
      <c r="E422" s="63">
        <v>42867</v>
      </c>
      <c r="F422" s="61">
        <v>0.39523000000000003</v>
      </c>
      <c r="G422" s="63">
        <v>42867</v>
      </c>
      <c r="H422" s="61">
        <v>0.43689666666666671</v>
      </c>
      <c r="I422" s="55">
        <v>30</v>
      </c>
      <c r="J422" s="56" t="s">
        <v>227</v>
      </c>
      <c r="K422" s="75" t="s">
        <v>228</v>
      </c>
      <c r="L422" s="70">
        <v>0</v>
      </c>
    </row>
    <row r="423" spans="1:12" ht="15" customHeight="1">
      <c r="A423" s="53" t="s">
        <v>218</v>
      </c>
      <c r="B423" s="53" t="s">
        <v>36</v>
      </c>
      <c r="C423" s="54">
        <f t="shared" si="12"/>
        <v>42885.76498</v>
      </c>
      <c r="D423" s="54">
        <f t="shared" si="13"/>
        <v>42885.806646666664</v>
      </c>
      <c r="E423" s="63">
        <v>42885</v>
      </c>
      <c r="F423" s="61">
        <v>0.76497999999999999</v>
      </c>
      <c r="G423" s="63">
        <v>42885</v>
      </c>
      <c r="H423" s="61">
        <v>0.80664666666666662</v>
      </c>
      <c r="I423" s="55">
        <v>30</v>
      </c>
      <c r="J423" s="56" t="s">
        <v>227</v>
      </c>
      <c r="K423" s="75" t="s">
        <v>230</v>
      </c>
      <c r="L423" s="70">
        <v>0</v>
      </c>
    </row>
    <row r="424" spans="1:12" ht="15" customHeight="1">
      <c r="A424" s="53" t="s">
        <v>219</v>
      </c>
      <c r="B424" s="53" t="s">
        <v>37</v>
      </c>
      <c r="C424" s="54">
        <f t="shared" si="12"/>
        <v>43064.502529999998</v>
      </c>
      <c r="D424" s="54">
        <f t="shared" si="13"/>
        <v>43064.544196666669</v>
      </c>
      <c r="E424" s="63">
        <v>43064</v>
      </c>
      <c r="F424" s="61">
        <v>0.50253000000000003</v>
      </c>
      <c r="G424" s="63">
        <v>43064</v>
      </c>
      <c r="H424" s="61">
        <v>0.54419666666666666</v>
      </c>
      <c r="I424" s="55">
        <v>30</v>
      </c>
      <c r="J424" s="56" t="s">
        <v>227</v>
      </c>
      <c r="K424" s="75" t="s">
        <v>228</v>
      </c>
      <c r="L424" s="70">
        <v>0</v>
      </c>
    </row>
    <row r="425" spans="1:12" ht="15" customHeight="1">
      <c r="A425" s="53" t="s">
        <v>216</v>
      </c>
      <c r="B425" s="53" t="s">
        <v>38</v>
      </c>
      <c r="C425" s="54">
        <f t="shared" si="12"/>
        <v>42963.360370000002</v>
      </c>
      <c r="D425" s="54">
        <f t="shared" si="13"/>
        <v>42963.402036666666</v>
      </c>
      <c r="E425" s="63">
        <v>42963</v>
      </c>
      <c r="F425" s="61">
        <v>0.36037000000000002</v>
      </c>
      <c r="G425" s="63">
        <v>42963</v>
      </c>
      <c r="H425" s="61">
        <v>0.40203666666666671</v>
      </c>
      <c r="I425" s="55">
        <v>30</v>
      </c>
      <c r="J425" s="56" t="s">
        <v>227</v>
      </c>
      <c r="K425" s="75" t="s">
        <v>228</v>
      </c>
      <c r="L425" s="70">
        <v>0</v>
      </c>
    </row>
    <row r="426" spans="1:12" ht="15" customHeight="1">
      <c r="A426" s="53" t="s">
        <v>220</v>
      </c>
      <c r="B426" s="53" t="s">
        <v>39</v>
      </c>
      <c r="C426" s="54">
        <f t="shared" si="12"/>
        <v>43099.729700000004</v>
      </c>
      <c r="D426" s="54">
        <f t="shared" si="13"/>
        <v>43099.771366666668</v>
      </c>
      <c r="E426" s="63">
        <v>43099</v>
      </c>
      <c r="F426" s="61">
        <v>0.72970000000000002</v>
      </c>
      <c r="G426" s="63">
        <v>43099</v>
      </c>
      <c r="H426" s="61">
        <v>0.77136666666666664</v>
      </c>
      <c r="I426" s="55">
        <v>30</v>
      </c>
      <c r="J426" s="56" t="s">
        <v>227</v>
      </c>
      <c r="K426" s="75" t="s">
        <v>230</v>
      </c>
      <c r="L426" s="70">
        <v>0</v>
      </c>
    </row>
    <row r="427" spans="1:12" ht="15" customHeight="1">
      <c r="A427" s="53" t="s">
        <v>216</v>
      </c>
      <c r="B427" s="53" t="s">
        <v>40</v>
      </c>
      <c r="C427" s="54">
        <f t="shared" si="12"/>
        <v>43028.475140000002</v>
      </c>
      <c r="D427" s="54">
        <f t="shared" si="13"/>
        <v>43028.516806666667</v>
      </c>
      <c r="E427" s="63">
        <v>43028</v>
      </c>
      <c r="F427" s="61">
        <v>0.47514000000000001</v>
      </c>
      <c r="G427" s="63">
        <v>43028</v>
      </c>
      <c r="H427" s="61">
        <v>0.51680666666666664</v>
      </c>
      <c r="I427" s="55">
        <v>30</v>
      </c>
      <c r="J427" s="56" t="s">
        <v>232</v>
      </c>
      <c r="K427" s="75" t="s">
        <v>228</v>
      </c>
      <c r="L427" s="70">
        <v>0</v>
      </c>
    </row>
    <row r="428" spans="1:12" ht="15" customHeight="1">
      <c r="A428" s="53" t="s">
        <v>218</v>
      </c>
      <c r="B428" s="53" t="s">
        <v>41</v>
      </c>
      <c r="C428" s="54">
        <f t="shared" si="12"/>
        <v>42819.525199999996</v>
      </c>
      <c r="D428" s="54">
        <f t="shared" si="13"/>
        <v>42819.566866666668</v>
      </c>
      <c r="E428" s="63">
        <v>42819</v>
      </c>
      <c r="F428" s="61">
        <v>0.5252</v>
      </c>
      <c r="G428" s="63">
        <v>42819</v>
      </c>
      <c r="H428" s="61">
        <v>0.56686666666666663</v>
      </c>
      <c r="I428" s="55">
        <v>30</v>
      </c>
      <c r="J428" s="56" t="s">
        <v>227</v>
      </c>
      <c r="K428" s="75" t="s">
        <v>230</v>
      </c>
      <c r="L428" s="70">
        <v>0</v>
      </c>
    </row>
    <row r="429" spans="1:12" ht="15" customHeight="1">
      <c r="A429" s="53" t="s">
        <v>217</v>
      </c>
      <c r="B429" s="53" t="s">
        <v>42</v>
      </c>
      <c r="C429" s="54">
        <f t="shared" si="12"/>
        <v>42778.339979999997</v>
      </c>
      <c r="D429" s="54">
        <f t="shared" si="13"/>
        <v>42778.381646666669</v>
      </c>
      <c r="E429" s="63">
        <v>42778</v>
      </c>
      <c r="F429" s="61">
        <v>0.33998</v>
      </c>
      <c r="G429" s="63">
        <v>42778</v>
      </c>
      <c r="H429" s="61">
        <v>0.38164666666666669</v>
      </c>
      <c r="I429" s="55">
        <v>30</v>
      </c>
      <c r="J429" s="56" t="s">
        <v>229</v>
      </c>
      <c r="K429" s="75" t="s">
        <v>230</v>
      </c>
      <c r="L429" s="70">
        <v>0</v>
      </c>
    </row>
    <row r="430" spans="1:12" ht="15" customHeight="1">
      <c r="A430" s="53" t="s">
        <v>218</v>
      </c>
      <c r="B430" s="53" t="s">
        <v>43</v>
      </c>
      <c r="C430" s="54">
        <f t="shared" si="12"/>
        <v>42982.746610000002</v>
      </c>
      <c r="D430" s="54">
        <f t="shared" si="13"/>
        <v>42982.788276666666</v>
      </c>
      <c r="E430" s="63">
        <v>42982</v>
      </c>
      <c r="F430" s="61">
        <v>0.74661</v>
      </c>
      <c r="G430" s="63">
        <v>42982</v>
      </c>
      <c r="H430" s="61">
        <v>0.78827666666666663</v>
      </c>
      <c r="I430" s="55">
        <v>30</v>
      </c>
      <c r="J430" s="56" t="s">
        <v>227</v>
      </c>
      <c r="K430" s="75" t="s">
        <v>231</v>
      </c>
      <c r="L430" s="70">
        <v>0</v>
      </c>
    </row>
    <row r="431" spans="1:12" ht="15" customHeight="1">
      <c r="A431" s="53" t="s">
        <v>217</v>
      </c>
      <c r="B431" s="53" t="s">
        <v>44</v>
      </c>
      <c r="C431" s="54">
        <f t="shared" si="12"/>
        <v>42948.676200000002</v>
      </c>
      <c r="D431" s="54">
        <f t="shared" si="13"/>
        <v>42948.717866666666</v>
      </c>
      <c r="E431" s="63">
        <v>42948</v>
      </c>
      <c r="F431" s="61">
        <v>0.67620000000000002</v>
      </c>
      <c r="G431" s="63">
        <v>42948</v>
      </c>
      <c r="H431" s="61">
        <v>0.71786666666666665</v>
      </c>
      <c r="I431" s="55">
        <v>30</v>
      </c>
      <c r="J431" s="56" t="s">
        <v>229</v>
      </c>
      <c r="K431" s="75" t="s">
        <v>231</v>
      </c>
      <c r="L431" s="70">
        <v>0</v>
      </c>
    </row>
    <row r="432" spans="1:12" ht="15" customHeight="1">
      <c r="A432" s="53" t="s">
        <v>218</v>
      </c>
      <c r="B432" s="53" t="s">
        <v>45</v>
      </c>
      <c r="C432" s="54">
        <f t="shared" si="12"/>
        <v>42858.67899</v>
      </c>
      <c r="D432" s="54">
        <f t="shared" si="13"/>
        <v>42858.720656666665</v>
      </c>
      <c r="E432" s="63">
        <v>42858</v>
      </c>
      <c r="F432" s="61">
        <v>0.67898999999999998</v>
      </c>
      <c r="G432" s="63">
        <v>42858</v>
      </c>
      <c r="H432" s="61">
        <v>0.72065666666666661</v>
      </c>
      <c r="I432" s="55">
        <v>30</v>
      </c>
      <c r="J432" s="56" t="s">
        <v>229</v>
      </c>
      <c r="K432" s="75" t="s">
        <v>231</v>
      </c>
      <c r="L432" s="70">
        <v>0</v>
      </c>
    </row>
    <row r="433" spans="1:12" ht="15" customHeight="1">
      <c r="A433" s="53" t="s">
        <v>216</v>
      </c>
      <c r="B433" s="53" t="s">
        <v>46</v>
      </c>
      <c r="C433" s="54">
        <f t="shared" si="12"/>
        <v>42986.444020000003</v>
      </c>
      <c r="D433" s="54">
        <f t="shared" si="13"/>
        <v>42986.485686666667</v>
      </c>
      <c r="E433" s="63">
        <v>42986</v>
      </c>
      <c r="F433" s="61">
        <v>0.44402000000000003</v>
      </c>
      <c r="G433" s="63">
        <v>42986</v>
      </c>
      <c r="H433" s="61">
        <v>0.48568666666666671</v>
      </c>
      <c r="I433" s="55">
        <v>30</v>
      </c>
      <c r="J433" s="56" t="s">
        <v>229</v>
      </c>
      <c r="K433" s="75" t="s">
        <v>231</v>
      </c>
      <c r="L433" s="70">
        <v>0</v>
      </c>
    </row>
    <row r="434" spans="1:12" ht="15" customHeight="1">
      <c r="A434" s="53" t="s">
        <v>217</v>
      </c>
      <c r="B434" s="53" t="s">
        <v>47</v>
      </c>
      <c r="C434" s="54">
        <f t="shared" si="12"/>
        <v>42836.682059999999</v>
      </c>
      <c r="D434" s="54">
        <f t="shared" si="13"/>
        <v>42836.723726666663</v>
      </c>
      <c r="E434" s="63">
        <v>42836</v>
      </c>
      <c r="F434" s="61">
        <v>0.68206</v>
      </c>
      <c r="G434" s="63">
        <v>42836</v>
      </c>
      <c r="H434" s="61">
        <v>0.72372666666666663</v>
      </c>
      <c r="I434" s="55">
        <v>30</v>
      </c>
      <c r="J434" s="56" t="s">
        <v>229</v>
      </c>
      <c r="K434" s="75" t="s">
        <v>231</v>
      </c>
      <c r="L434" s="70">
        <v>0</v>
      </c>
    </row>
    <row r="435" spans="1:12" ht="15" customHeight="1">
      <c r="A435" s="53" t="s">
        <v>217</v>
      </c>
      <c r="B435" s="53" t="s">
        <v>48</v>
      </c>
      <c r="C435" s="54">
        <f t="shared" si="12"/>
        <v>42863.492590000002</v>
      </c>
      <c r="D435" s="54">
        <f t="shared" si="13"/>
        <v>42863.534256666666</v>
      </c>
      <c r="E435" s="63">
        <v>42863</v>
      </c>
      <c r="F435" s="61">
        <v>0.49258999999999997</v>
      </c>
      <c r="G435" s="63">
        <v>42863</v>
      </c>
      <c r="H435" s="61">
        <v>0.5342566666666666</v>
      </c>
      <c r="I435" s="55">
        <v>30</v>
      </c>
      <c r="J435" s="56" t="s">
        <v>227</v>
      </c>
      <c r="K435" s="75" t="s">
        <v>231</v>
      </c>
      <c r="L435" s="70">
        <v>0</v>
      </c>
    </row>
    <row r="436" spans="1:12" ht="15" customHeight="1">
      <c r="A436" s="53" t="s">
        <v>217</v>
      </c>
      <c r="B436" s="53" t="s">
        <v>49</v>
      </c>
      <c r="C436" s="54">
        <f t="shared" si="12"/>
        <v>42747.428610000003</v>
      </c>
      <c r="D436" s="54">
        <f t="shared" si="13"/>
        <v>42747.470276666667</v>
      </c>
      <c r="E436" s="63">
        <v>42747</v>
      </c>
      <c r="F436" s="61">
        <v>0.42860999999999999</v>
      </c>
      <c r="G436" s="63">
        <v>42747</v>
      </c>
      <c r="H436" s="61">
        <v>0.47027666666666668</v>
      </c>
      <c r="I436" s="55">
        <v>30</v>
      </c>
      <c r="J436" s="56" t="s">
        <v>232</v>
      </c>
      <c r="K436" s="75" t="s">
        <v>228</v>
      </c>
      <c r="L436" s="70">
        <v>0</v>
      </c>
    </row>
    <row r="437" spans="1:12" ht="15" customHeight="1">
      <c r="A437" s="53" t="s">
        <v>216</v>
      </c>
      <c r="B437" s="53" t="s">
        <v>50</v>
      </c>
      <c r="C437" s="54">
        <f t="shared" si="12"/>
        <v>42850.512750000002</v>
      </c>
      <c r="D437" s="54">
        <f t="shared" si="13"/>
        <v>42850.554416666666</v>
      </c>
      <c r="E437" s="63">
        <v>42850</v>
      </c>
      <c r="F437" s="61">
        <v>0.51275000000000004</v>
      </c>
      <c r="G437" s="63">
        <v>42850</v>
      </c>
      <c r="H437" s="61">
        <v>0.55441666666666667</v>
      </c>
      <c r="I437" s="55">
        <v>30</v>
      </c>
      <c r="J437" s="56" t="s">
        <v>232</v>
      </c>
      <c r="K437" s="75" t="s">
        <v>230</v>
      </c>
      <c r="L437" s="70">
        <v>0</v>
      </c>
    </row>
    <row r="438" spans="1:12" ht="15" customHeight="1">
      <c r="A438" s="53" t="s">
        <v>219</v>
      </c>
      <c r="B438" s="53" t="s">
        <v>51</v>
      </c>
      <c r="C438" s="54">
        <f t="shared" si="12"/>
        <v>42756.362869999997</v>
      </c>
      <c r="D438" s="54">
        <f t="shared" si="13"/>
        <v>42756.404536666669</v>
      </c>
      <c r="E438" s="63">
        <v>42756</v>
      </c>
      <c r="F438" s="61">
        <v>0.36287000000000003</v>
      </c>
      <c r="G438" s="63">
        <v>42756</v>
      </c>
      <c r="H438" s="61">
        <v>0.40453666666666671</v>
      </c>
      <c r="I438" s="55">
        <v>30</v>
      </c>
      <c r="J438" s="56" t="s">
        <v>232</v>
      </c>
      <c r="K438" s="75" t="s">
        <v>228</v>
      </c>
      <c r="L438" s="70">
        <v>0</v>
      </c>
    </row>
    <row r="439" spans="1:12" ht="15" customHeight="1">
      <c r="A439" s="53" t="s">
        <v>217</v>
      </c>
      <c r="B439" s="53" t="s">
        <v>52</v>
      </c>
      <c r="C439" s="54">
        <f t="shared" si="12"/>
        <v>42767.631860000001</v>
      </c>
      <c r="D439" s="54">
        <f t="shared" si="13"/>
        <v>42767.673526666666</v>
      </c>
      <c r="E439" s="63">
        <v>42767</v>
      </c>
      <c r="F439" s="61">
        <v>0.63185999999999998</v>
      </c>
      <c r="G439" s="63">
        <v>42767</v>
      </c>
      <c r="H439" s="61">
        <v>0.67352666666666661</v>
      </c>
      <c r="I439" s="55">
        <v>30</v>
      </c>
      <c r="J439" s="56" t="s">
        <v>227</v>
      </c>
      <c r="K439" s="75" t="s">
        <v>230</v>
      </c>
      <c r="L439" s="70">
        <v>0</v>
      </c>
    </row>
    <row r="440" spans="1:12" ht="15" customHeight="1">
      <c r="A440" s="53" t="s">
        <v>217</v>
      </c>
      <c r="B440" s="53" t="s">
        <v>53</v>
      </c>
      <c r="C440" s="54">
        <f t="shared" si="12"/>
        <v>43046.498339999998</v>
      </c>
      <c r="D440" s="54">
        <f t="shared" si="13"/>
        <v>43046.54000666667</v>
      </c>
      <c r="E440" s="63">
        <v>43046</v>
      </c>
      <c r="F440" s="61">
        <v>0.49834000000000001</v>
      </c>
      <c r="G440" s="63">
        <v>43046</v>
      </c>
      <c r="H440" s="61">
        <v>0.54000666666666663</v>
      </c>
      <c r="I440" s="55">
        <v>30</v>
      </c>
      <c r="J440" s="56" t="s">
        <v>229</v>
      </c>
      <c r="K440" s="75" t="s">
        <v>228</v>
      </c>
      <c r="L440" s="70">
        <v>0</v>
      </c>
    </row>
    <row r="441" spans="1:12" ht="15" customHeight="1">
      <c r="A441" s="53" t="s">
        <v>218</v>
      </c>
      <c r="B441" s="53" t="s">
        <v>54</v>
      </c>
      <c r="C441" s="54">
        <f t="shared" si="12"/>
        <v>43002.459790000001</v>
      </c>
      <c r="D441" s="54">
        <f t="shared" si="13"/>
        <v>43002.501456666665</v>
      </c>
      <c r="E441" s="63">
        <v>43002</v>
      </c>
      <c r="F441" s="61">
        <v>0.45978999999999998</v>
      </c>
      <c r="G441" s="63">
        <v>43002</v>
      </c>
      <c r="H441" s="61">
        <v>0.50145666666666666</v>
      </c>
      <c r="I441" s="55">
        <v>30</v>
      </c>
      <c r="J441" s="56" t="s">
        <v>232</v>
      </c>
      <c r="K441" s="75" t="s">
        <v>228</v>
      </c>
      <c r="L441" s="70">
        <v>0</v>
      </c>
    </row>
    <row r="442" spans="1:12" ht="15" customHeight="1">
      <c r="A442" s="53" t="s">
        <v>220</v>
      </c>
      <c r="B442" s="53" t="s">
        <v>55</v>
      </c>
      <c r="C442" s="54">
        <f t="shared" si="12"/>
        <v>42966.701990000001</v>
      </c>
      <c r="D442" s="54">
        <f t="shared" si="13"/>
        <v>42966.743656666666</v>
      </c>
      <c r="E442" s="63">
        <v>42966</v>
      </c>
      <c r="F442" s="61">
        <v>0.70199</v>
      </c>
      <c r="G442" s="63">
        <v>42966</v>
      </c>
      <c r="H442" s="61">
        <v>0.74365666666666663</v>
      </c>
      <c r="I442" s="55">
        <v>30</v>
      </c>
      <c r="J442" s="56" t="s">
        <v>227</v>
      </c>
      <c r="K442" s="75" t="s">
        <v>228</v>
      </c>
      <c r="L442" s="70">
        <v>0</v>
      </c>
    </row>
    <row r="443" spans="1:12" ht="15" customHeight="1">
      <c r="A443" s="53" t="s">
        <v>220</v>
      </c>
      <c r="B443" s="53" t="s">
        <v>56</v>
      </c>
      <c r="C443" s="54">
        <f t="shared" si="12"/>
        <v>42738.656410000003</v>
      </c>
      <c r="D443" s="54">
        <f t="shared" si="13"/>
        <v>42738.698076666667</v>
      </c>
      <c r="E443" s="63">
        <v>42738</v>
      </c>
      <c r="F443" s="61">
        <v>0.65641000000000005</v>
      </c>
      <c r="G443" s="63">
        <v>42738</v>
      </c>
      <c r="H443" s="61">
        <v>0.69807666666666668</v>
      </c>
      <c r="I443" s="55">
        <v>30</v>
      </c>
      <c r="J443" s="56" t="s">
        <v>227</v>
      </c>
      <c r="K443" s="75" t="s">
        <v>231</v>
      </c>
      <c r="L443" s="70">
        <v>0</v>
      </c>
    </row>
    <row r="444" spans="1:12" ht="15" customHeight="1">
      <c r="A444" s="53" t="s">
        <v>216</v>
      </c>
      <c r="B444" s="53" t="s">
        <v>57</v>
      </c>
      <c r="C444" s="54">
        <f t="shared" si="12"/>
        <v>42775.69369</v>
      </c>
      <c r="D444" s="54">
        <f t="shared" si="13"/>
        <v>42775.735356666664</v>
      </c>
      <c r="E444" s="63">
        <v>42775</v>
      </c>
      <c r="F444" s="61">
        <v>0.69369000000000003</v>
      </c>
      <c r="G444" s="63">
        <v>42775</v>
      </c>
      <c r="H444" s="61">
        <v>0.73535666666666666</v>
      </c>
      <c r="I444" s="55">
        <v>30</v>
      </c>
      <c r="J444" s="56" t="s">
        <v>232</v>
      </c>
      <c r="K444" s="75" t="s">
        <v>228</v>
      </c>
      <c r="L444" s="70">
        <v>0</v>
      </c>
    </row>
    <row r="445" spans="1:12" ht="15" customHeight="1">
      <c r="A445" s="53" t="s">
        <v>219</v>
      </c>
      <c r="B445" s="53" t="s">
        <v>58</v>
      </c>
      <c r="C445" s="54">
        <f t="shared" si="12"/>
        <v>42757.671249999999</v>
      </c>
      <c r="D445" s="54">
        <f t="shared" si="13"/>
        <v>42757.712916666664</v>
      </c>
      <c r="E445" s="63">
        <v>42757</v>
      </c>
      <c r="F445" s="61">
        <v>0.67125000000000001</v>
      </c>
      <c r="G445" s="63">
        <v>42757</v>
      </c>
      <c r="H445" s="61">
        <v>0.71291666666666664</v>
      </c>
      <c r="I445" s="55">
        <v>30</v>
      </c>
      <c r="J445" s="56" t="s">
        <v>232</v>
      </c>
      <c r="K445" s="75" t="s">
        <v>228</v>
      </c>
      <c r="L445" s="70">
        <v>0</v>
      </c>
    </row>
    <row r="446" spans="1:12" ht="15" customHeight="1">
      <c r="A446" s="53" t="s">
        <v>216</v>
      </c>
      <c r="B446" s="53" t="s">
        <v>59</v>
      </c>
      <c r="C446" s="54">
        <f t="shared" si="12"/>
        <v>42898.712670000001</v>
      </c>
      <c r="D446" s="54">
        <f t="shared" si="13"/>
        <v>42898.754336666665</v>
      </c>
      <c r="E446" s="63">
        <v>42898</v>
      </c>
      <c r="F446" s="61">
        <v>0.71267000000000003</v>
      </c>
      <c r="G446" s="63">
        <v>42898</v>
      </c>
      <c r="H446" s="61">
        <v>0.75433666666666666</v>
      </c>
      <c r="I446" s="55">
        <v>30</v>
      </c>
      <c r="J446" s="56" t="s">
        <v>227</v>
      </c>
      <c r="K446" s="75" t="s">
        <v>228</v>
      </c>
      <c r="L446" s="70">
        <v>0</v>
      </c>
    </row>
    <row r="447" spans="1:12" ht="15" customHeight="1">
      <c r="A447" s="53" t="s">
        <v>218</v>
      </c>
      <c r="B447" s="53" t="s">
        <v>60</v>
      </c>
      <c r="C447" s="54">
        <f t="shared" si="12"/>
        <v>42928.541129999998</v>
      </c>
      <c r="D447" s="54">
        <f t="shared" si="13"/>
        <v>42928.582796666669</v>
      </c>
      <c r="E447" s="63">
        <v>42928</v>
      </c>
      <c r="F447" s="61">
        <v>0.54113</v>
      </c>
      <c r="G447" s="63">
        <v>42928</v>
      </c>
      <c r="H447" s="61">
        <v>0.58279666666666663</v>
      </c>
      <c r="I447" s="55">
        <v>30</v>
      </c>
      <c r="J447" s="56" t="s">
        <v>232</v>
      </c>
      <c r="K447" s="75" t="s">
        <v>230</v>
      </c>
      <c r="L447" s="70">
        <v>0</v>
      </c>
    </row>
    <row r="448" spans="1:12" ht="15" customHeight="1">
      <c r="A448" s="53" t="s">
        <v>217</v>
      </c>
      <c r="B448" s="53" t="s">
        <v>61</v>
      </c>
      <c r="C448" s="54">
        <f t="shared" si="12"/>
        <v>42822.730779999998</v>
      </c>
      <c r="D448" s="54">
        <f t="shared" si="13"/>
        <v>42822.77244666667</v>
      </c>
      <c r="E448" s="63">
        <v>42822</v>
      </c>
      <c r="F448" s="61">
        <v>0.73077999999999999</v>
      </c>
      <c r="G448" s="63">
        <v>42822</v>
      </c>
      <c r="H448" s="61">
        <v>0.77244666666666661</v>
      </c>
      <c r="I448" s="55">
        <v>30</v>
      </c>
      <c r="J448" s="56" t="s">
        <v>229</v>
      </c>
      <c r="K448" s="75" t="s">
        <v>231</v>
      </c>
      <c r="L448" s="70">
        <v>0</v>
      </c>
    </row>
    <row r="449" spans="1:12" ht="15" customHeight="1">
      <c r="A449" s="53" t="s">
        <v>216</v>
      </c>
      <c r="B449" s="53" t="s">
        <v>62</v>
      </c>
      <c r="C449" s="54">
        <f t="shared" si="12"/>
        <v>42860.672189999997</v>
      </c>
      <c r="D449" s="54">
        <f t="shared" si="13"/>
        <v>42860.713856666669</v>
      </c>
      <c r="E449" s="63">
        <v>42860</v>
      </c>
      <c r="F449" s="61">
        <v>0.67218999999999995</v>
      </c>
      <c r="G449" s="63">
        <v>42860</v>
      </c>
      <c r="H449" s="61">
        <v>0.71385666666666658</v>
      </c>
      <c r="I449" s="55">
        <v>30</v>
      </c>
      <c r="J449" s="56" t="s">
        <v>229</v>
      </c>
      <c r="K449" s="75" t="s">
        <v>228</v>
      </c>
      <c r="L449" s="70">
        <v>0</v>
      </c>
    </row>
    <row r="450" spans="1:12" ht="15" customHeight="1">
      <c r="A450" s="53" t="s">
        <v>220</v>
      </c>
      <c r="B450" s="53" t="s">
        <v>63</v>
      </c>
      <c r="C450" s="54">
        <f t="shared" si="12"/>
        <v>42765.612820000002</v>
      </c>
      <c r="D450" s="54">
        <f t="shared" si="13"/>
        <v>42765.654486666666</v>
      </c>
      <c r="E450" s="63">
        <v>42765</v>
      </c>
      <c r="F450" s="61">
        <v>0.61282000000000003</v>
      </c>
      <c r="G450" s="63">
        <v>42765</v>
      </c>
      <c r="H450" s="61">
        <v>0.65448666666666666</v>
      </c>
      <c r="I450" s="55">
        <v>30</v>
      </c>
      <c r="J450" s="56" t="s">
        <v>227</v>
      </c>
      <c r="K450" s="75" t="s">
        <v>231</v>
      </c>
      <c r="L450" s="70">
        <v>0</v>
      </c>
    </row>
    <row r="451" spans="1:12" ht="15" customHeight="1">
      <c r="A451" s="53" t="s">
        <v>219</v>
      </c>
      <c r="B451" s="53" t="s">
        <v>64</v>
      </c>
      <c r="C451" s="54">
        <f t="shared" ref="C451:C514" si="14">E451+F451</f>
        <v>42844.366690000003</v>
      </c>
      <c r="D451" s="54">
        <f t="shared" ref="D451:D514" si="15">G451+H451</f>
        <v>42844.408356666667</v>
      </c>
      <c r="E451" s="63">
        <v>42844</v>
      </c>
      <c r="F451" s="61">
        <v>0.36669000000000002</v>
      </c>
      <c r="G451" s="63">
        <v>42844</v>
      </c>
      <c r="H451" s="61">
        <v>0.4083566666666667</v>
      </c>
      <c r="I451" s="55">
        <v>30</v>
      </c>
      <c r="J451" s="56" t="s">
        <v>227</v>
      </c>
      <c r="K451" s="75" t="s">
        <v>230</v>
      </c>
      <c r="L451" s="70">
        <v>0</v>
      </c>
    </row>
    <row r="452" spans="1:12" ht="15" customHeight="1">
      <c r="A452" s="53" t="s">
        <v>218</v>
      </c>
      <c r="B452" s="53" t="s">
        <v>65</v>
      </c>
      <c r="C452" s="54">
        <f t="shared" si="14"/>
        <v>42748.632210000003</v>
      </c>
      <c r="D452" s="54">
        <f t="shared" si="15"/>
        <v>42748.673876666668</v>
      </c>
      <c r="E452" s="63">
        <v>42748</v>
      </c>
      <c r="F452" s="61">
        <v>0.63221000000000005</v>
      </c>
      <c r="G452" s="63">
        <v>42748</v>
      </c>
      <c r="H452" s="61">
        <v>0.67387666666666668</v>
      </c>
      <c r="I452" s="55">
        <v>30</v>
      </c>
      <c r="J452" s="56" t="s">
        <v>232</v>
      </c>
      <c r="K452" s="75" t="s">
        <v>230</v>
      </c>
      <c r="L452" s="70">
        <v>0</v>
      </c>
    </row>
    <row r="453" spans="1:12" ht="15" customHeight="1">
      <c r="A453" s="53" t="s">
        <v>216</v>
      </c>
      <c r="B453" s="53" t="s">
        <v>66</v>
      </c>
      <c r="C453" s="54">
        <f t="shared" si="14"/>
        <v>42870.694900000002</v>
      </c>
      <c r="D453" s="54">
        <f t="shared" si="15"/>
        <v>42870.736566666666</v>
      </c>
      <c r="E453" s="63">
        <v>42870</v>
      </c>
      <c r="F453" s="61">
        <v>0.69489999999999996</v>
      </c>
      <c r="G453" s="63">
        <v>42870</v>
      </c>
      <c r="H453" s="61">
        <v>0.73656666666666659</v>
      </c>
      <c r="I453" s="55">
        <v>30</v>
      </c>
      <c r="J453" s="56" t="s">
        <v>232</v>
      </c>
      <c r="K453" s="75" t="s">
        <v>230</v>
      </c>
      <c r="L453" s="70">
        <v>0</v>
      </c>
    </row>
    <row r="454" spans="1:12" ht="15" customHeight="1">
      <c r="A454" s="53" t="s">
        <v>220</v>
      </c>
      <c r="B454" s="53" t="s">
        <v>67</v>
      </c>
      <c r="C454" s="54">
        <f t="shared" si="14"/>
        <v>43001.378340000003</v>
      </c>
      <c r="D454" s="54">
        <f t="shared" si="15"/>
        <v>43001.420006666667</v>
      </c>
      <c r="E454" s="63">
        <v>43001</v>
      </c>
      <c r="F454" s="61">
        <v>0.37834000000000001</v>
      </c>
      <c r="G454" s="63">
        <v>43001</v>
      </c>
      <c r="H454" s="61">
        <v>0.42000666666666669</v>
      </c>
      <c r="I454" s="55">
        <v>30</v>
      </c>
      <c r="J454" s="56" t="s">
        <v>229</v>
      </c>
      <c r="K454" s="75" t="s">
        <v>231</v>
      </c>
      <c r="L454" s="70">
        <v>0</v>
      </c>
    </row>
    <row r="455" spans="1:12" ht="15" customHeight="1">
      <c r="A455" s="53" t="s">
        <v>220</v>
      </c>
      <c r="B455" s="53" t="s">
        <v>68</v>
      </c>
      <c r="C455" s="54">
        <f t="shared" si="14"/>
        <v>43059.675490000001</v>
      </c>
      <c r="D455" s="54">
        <f t="shared" si="15"/>
        <v>43059.717156666666</v>
      </c>
      <c r="E455" s="63">
        <v>43059</v>
      </c>
      <c r="F455" s="61">
        <v>0.67549000000000003</v>
      </c>
      <c r="G455" s="63">
        <v>43059</v>
      </c>
      <c r="H455" s="61">
        <v>0.71715666666666666</v>
      </c>
      <c r="I455" s="55">
        <v>30</v>
      </c>
      <c r="J455" s="56" t="s">
        <v>229</v>
      </c>
      <c r="K455" s="75" t="s">
        <v>230</v>
      </c>
      <c r="L455" s="70">
        <v>0</v>
      </c>
    </row>
    <row r="456" spans="1:12" ht="15" customHeight="1">
      <c r="A456" s="53" t="s">
        <v>220</v>
      </c>
      <c r="B456" s="53" t="s">
        <v>69</v>
      </c>
      <c r="C456" s="54">
        <f t="shared" si="14"/>
        <v>42860.670449999998</v>
      </c>
      <c r="D456" s="54">
        <f t="shared" si="15"/>
        <v>42860.712116666669</v>
      </c>
      <c r="E456" s="63">
        <v>42860</v>
      </c>
      <c r="F456" s="61">
        <v>0.67044999999999999</v>
      </c>
      <c r="G456" s="63">
        <v>42860</v>
      </c>
      <c r="H456" s="61">
        <v>0.71211666666666662</v>
      </c>
      <c r="I456" s="55">
        <v>30</v>
      </c>
      <c r="J456" s="56" t="s">
        <v>229</v>
      </c>
      <c r="K456" s="75" t="s">
        <v>228</v>
      </c>
      <c r="L456" s="70">
        <v>0</v>
      </c>
    </row>
    <row r="457" spans="1:12" ht="15" customHeight="1">
      <c r="A457" s="53" t="s">
        <v>217</v>
      </c>
      <c r="B457" s="53" t="s">
        <v>70</v>
      </c>
      <c r="C457" s="54">
        <f t="shared" si="14"/>
        <v>42863.663310000004</v>
      </c>
      <c r="D457" s="54">
        <f t="shared" si="15"/>
        <v>42863.704976666668</v>
      </c>
      <c r="E457" s="63">
        <v>42863</v>
      </c>
      <c r="F457" s="61">
        <v>0.66330999999999996</v>
      </c>
      <c r="G457" s="63">
        <v>42863</v>
      </c>
      <c r="H457" s="61">
        <v>0.70497666666666658</v>
      </c>
      <c r="I457" s="55">
        <v>30</v>
      </c>
      <c r="J457" s="56" t="s">
        <v>229</v>
      </c>
      <c r="K457" s="75" t="s">
        <v>228</v>
      </c>
      <c r="L457" s="70">
        <v>0</v>
      </c>
    </row>
    <row r="458" spans="1:12" ht="15" customHeight="1">
      <c r="A458" s="53" t="s">
        <v>218</v>
      </c>
      <c r="B458" s="53" t="s">
        <v>71</v>
      </c>
      <c r="C458" s="54">
        <f t="shared" si="14"/>
        <v>43035.646769999999</v>
      </c>
      <c r="D458" s="54">
        <f t="shared" si="15"/>
        <v>43035.688436666664</v>
      </c>
      <c r="E458" s="63">
        <v>43035</v>
      </c>
      <c r="F458" s="61">
        <v>0.64676999999999996</v>
      </c>
      <c r="G458" s="63">
        <v>43035</v>
      </c>
      <c r="H458" s="61">
        <v>0.68843666666666659</v>
      </c>
      <c r="I458" s="55">
        <v>30</v>
      </c>
      <c r="J458" s="56" t="s">
        <v>232</v>
      </c>
      <c r="K458" s="75" t="s">
        <v>228</v>
      </c>
      <c r="L458" s="70">
        <v>0</v>
      </c>
    </row>
    <row r="459" spans="1:12" ht="15" customHeight="1">
      <c r="A459" s="53" t="s">
        <v>217</v>
      </c>
      <c r="B459" s="53" t="s">
        <v>72</v>
      </c>
      <c r="C459" s="54">
        <f t="shared" si="14"/>
        <v>42985.482810000001</v>
      </c>
      <c r="D459" s="54">
        <f t="shared" si="15"/>
        <v>42985.524476666666</v>
      </c>
      <c r="E459" s="63">
        <v>42985</v>
      </c>
      <c r="F459" s="61">
        <v>0.48281000000000002</v>
      </c>
      <c r="G459" s="63">
        <v>42985</v>
      </c>
      <c r="H459" s="61">
        <v>0.5244766666666667</v>
      </c>
      <c r="I459" s="55">
        <v>30</v>
      </c>
      <c r="J459" s="56" t="s">
        <v>232</v>
      </c>
      <c r="K459" s="75" t="s">
        <v>228</v>
      </c>
      <c r="L459" s="70">
        <v>0</v>
      </c>
    </row>
    <row r="460" spans="1:12" ht="15" customHeight="1">
      <c r="A460" s="53" t="s">
        <v>218</v>
      </c>
      <c r="B460" s="53" t="s">
        <v>73</v>
      </c>
      <c r="C460" s="54">
        <f t="shared" si="14"/>
        <v>42770.692000000003</v>
      </c>
      <c r="D460" s="54">
        <f t="shared" si="15"/>
        <v>42770.733666666667</v>
      </c>
      <c r="E460" s="63">
        <v>42770</v>
      </c>
      <c r="F460" s="61">
        <v>0.69199999999999995</v>
      </c>
      <c r="G460" s="63">
        <v>42770</v>
      </c>
      <c r="H460" s="61">
        <v>0.73366666666666658</v>
      </c>
      <c r="I460" s="55">
        <v>30</v>
      </c>
      <c r="J460" s="56" t="s">
        <v>232</v>
      </c>
      <c r="K460" s="75" t="s">
        <v>231</v>
      </c>
      <c r="L460" s="70">
        <v>0</v>
      </c>
    </row>
    <row r="461" spans="1:12" ht="15" customHeight="1">
      <c r="A461" s="53" t="s">
        <v>220</v>
      </c>
      <c r="B461" s="53" t="s">
        <v>74</v>
      </c>
      <c r="C461" s="54">
        <f t="shared" si="14"/>
        <v>42989.562160000001</v>
      </c>
      <c r="D461" s="54">
        <f t="shared" si="15"/>
        <v>42989.603826666666</v>
      </c>
      <c r="E461" s="63">
        <v>42989</v>
      </c>
      <c r="F461" s="61">
        <v>0.56215999999999999</v>
      </c>
      <c r="G461" s="63">
        <v>42989</v>
      </c>
      <c r="H461" s="61">
        <v>0.60382666666666662</v>
      </c>
      <c r="I461" s="55">
        <v>30</v>
      </c>
      <c r="J461" s="56" t="s">
        <v>227</v>
      </c>
      <c r="K461" s="75" t="s">
        <v>230</v>
      </c>
      <c r="L461" s="70">
        <v>0</v>
      </c>
    </row>
    <row r="462" spans="1:12" ht="15" customHeight="1">
      <c r="A462" s="53" t="s">
        <v>220</v>
      </c>
      <c r="B462" s="53" t="s">
        <v>75</v>
      </c>
      <c r="C462" s="54">
        <f t="shared" si="14"/>
        <v>43064.677969999997</v>
      </c>
      <c r="D462" s="54">
        <f t="shared" si="15"/>
        <v>43064.719636666669</v>
      </c>
      <c r="E462" s="63">
        <v>43064</v>
      </c>
      <c r="F462" s="61">
        <v>0.67796999999999996</v>
      </c>
      <c r="G462" s="63">
        <v>43064</v>
      </c>
      <c r="H462" s="61">
        <v>0.71963666666666659</v>
      </c>
      <c r="I462" s="55">
        <v>30</v>
      </c>
      <c r="J462" s="56" t="s">
        <v>229</v>
      </c>
      <c r="K462" s="75" t="s">
        <v>230</v>
      </c>
      <c r="L462" s="70">
        <v>0</v>
      </c>
    </row>
    <row r="463" spans="1:12" ht="15" customHeight="1">
      <c r="A463" s="53" t="s">
        <v>219</v>
      </c>
      <c r="B463" s="53" t="s">
        <v>76</v>
      </c>
      <c r="C463" s="54">
        <f t="shared" si="14"/>
        <v>42832.650820000003</v>
      </c>
      <c r="D463" s="54">
        <f t="shared" si="15"/>
        <v>42832.692486666667</v>
      </c>
      <c r="E463" s="63">
        <v>42832</v>
      </c>
      <c r="F463" s="61">
        <v>0.65081999999999995</v>
      </c>
      <c r="G463" s="63">
        <v>42832</v>
      </c>
      <c r="H463" s="61">
        <v>0.69248666666666658</v>
      </c>
      <c r="I463" s="55">
        <v>30</v>
      </c>
      <c r="J463" s="56" t="s">
        <v>229</v>
      </c>
      <c r="K463" s="75" t="s">
        <v>228</v>
      </c>
      <c r="L463" s="70">
        <v>0</v>
      </c>
    </row>
    <row r="464" spans="1:12" ht="15" customHeight="1">
      <c r="A464" s="53" t="s">
        <v>219</v>
      </c>
      <c r="B464" s="53" t="s">
        <v>77</v>
      </c>
      <c r="C464" s="54">
        <f t="shared" si="14"/>
        <v>42871.725919999997</v>
      </c>
      <c r="D464" s="54">
        <f t="shared" si="15"/>
        <v>42871.767586666669</v>
      </c>
      <c r="E464" s="63">
        <v>42871</v>
      </c>
      <c r="F464" s="61">
        <v>0.72592000000000001</v>
      </c>
      <c r="G464" s="63">
        <v>42871</v>
      </c>
      <c r="H464" s="61">
        <v>0.76758666666666664</v>
      </c>
      <c r="I464" s="55">
        <v>30</v>
      </c>
      <c r="J464" s="56" t="s">
        <v>229</v>
      </c>
      <c r="K464" s="75" t="s">
        <v>228</v>
      </c>
      <c r="L464" s="70">
        <v>0</v>
      </c>
    </row>
    <row r="465" spans="1:12" ht="15" customHeight="1">
      <c r="A465" s="53" t="s">
        <v>218</v>
      </c>
      <c r="B465" s="53" t="s">
        <v>78</v>
      </c>
      <c r="C465" s="54">
        <f t="shared" si="14"/>
        <v>42962.412199999999</v>
      </c>
      <c r="D465" s="54">
        <f t="shared" si="15"/>
        <v>42962.453866666663</v>
      </c>
      <c r="E465" s="63">
        <v>42962</v>
      </c>
      <c r="F465" s="61">
        <v>0.41220000000000001</v>
      </c>
      <c r="G465" s="63">
        <v>42962</v>
      </c>
      <c r="H465" s="61">
        <v>0.4538666666666667</v>
      </c>
      <c r="I465" s="55">
        <v>30</v>
      </c>
      <c r="J465" s="56" t="s">
        <v>227</v>
      </c>
      <c r="K465" s="75" t="s">
        <v>228</v>
      </c>
      <c r="L465" s="70">
        <v>0</v>
      </c>
    </row>
    <row r="466" spans="1:12" ht="15" customHeight="1">
      <c r="A466" s="53" t="s">
        <v>220</v>
      </c>
      <c r="B466" s="53" t="s">
        <v>79</v>
      </c>
      <c r="C466" s="54">
        <f t="shared" si="14"/>
        <v>43086.573340000003</v>
      </c>
      <c r="D466" s="54">
        <f t="shared" si="15"/>
        <v>43086.615006666667</v>
      </c>
      <c r="E466" s="63">
        <v>43086</v>
      </c>
      <c r="F466" s="61">
        <v>0.57333999999999996</v>
      </c>
      <c r="G466" s="63">
        <v>43086</v>
      </c>
      <c r="H466" s="61">
        <v>0.61500666666666659</v>
      </c>
      <c r="I466" s="55">
        <v>30</v>
      </c>
      <c r="J466" s="56" t="s">
        <v>229</v>
      </c>
      <c r="K466" s="75" t="s">
        <v>231</v>
      </c>
      <c r="L466" s="70">
        <v>0</v>
      </c>
    </row>
    <row r="467" spans="1:12" ht="15" customHeight="1">
      <c r="A467" s="53" t="s">
        <v>217</v>
      </c>
      <c r="B467" s="53" t="s">
        <v>80</v>
      </c>
      <c r="C467" s="54">
        <f t="shared" si="14"/>
        <v>42866.343690000002</v>
      </c>
      <c r="D467" s="54">
        <f t="shared" si="15"/>
        <v>42866.385356666666</v>
      </c>
      <c r="E467" s="63">
        <v>42866</v>
      </c>
      <c r="F467" s="61">
        <v>0.34369</v>
      </c>
      <c r="G467" s="63">
        <v>42866</v>
      </c>
      <c r="H467" s="61">
        <v>0.38535666666666668</v>
      </c>
      <c r="I467" s="55">
        <v>30</v>
      </c>
      <c r="J467" s="56" t="s">
        <v>232</v>
      </c>
      <c r="K467" s="75" t="s">
        <v>228</v>
      </c>
      <c r="L467" s="70">
        <v>0</v>
      </c>
    </row>
    <row r="468" spans="1:12" ht="15" customHeight="1">
      <c r="A468" s="53" t="s">
        <v>219</v>
      </c>
      <c r="B468" s="53" t="s">
        <v>81</v>
      </c>
      <c r="C468" s="54">
        <f t="shared" si="14"/>
        <v>42887.764380000001</v>
      </c>
      <c r="D468" s="54">
        <f t="shared" si="15"/>
        <v>42887.806046666665</v>
      </c>
      <c r="E468" s="63">
        <v>42887</v>
      </c>
      <c r="F468" s="61">
        <v>0.76437999999999995</v>
      </c>
      <c r="G468" s="63">
        <v>42887</v>
      </c>
      <c r="H468" s="61">
        <v>0.80604666666666658</v>
      </c>
      <c r="I468" s="55">
        <v>30</v>
      </c>
      <c r="J468" s="56" t="s">
        <v>232</v>
      </c>
      <c r="K468" s="75" t="s">
        <v>230</v>
      </c>
      <c r="L468" s="70">
        <v>0</v>
      </c>
    </row>
    <row r="469" spans="1:12" ht="15" customHeight="1">
      <c r="A469" s="53" t="s">
        <v>217</v>
      </c>
      <c r="B469" s="53" t="s">
        <v>82</v>
      </c>
      <c r="C469" s="54">
        <f t="shared" si="14"/>
        <v>42815.352270000003</v>
      </c>
      <c r="D469" s="54">
        <f t="shared" si="15"/>
        <v>42815.393936666667</v>
      </c>
      <c r="E469" s="63">
        <v>42815</v>
      </c>
      <c r="F469" s="61">
        <v>0.35227000000000003</v>
      </c>
      <c r="G469" s="63">
        <v>42815</v>
      </c>
      <c r="H469" s="61">
        <v>0.39393666666666671</v>
      </c>
      <c r="I469" s="55">
        <v>30</v>
      </c>
      <c r="J469" s="56" t="s">
        <v>232</v>
      </c>
      <c r="K469" s="75" t="s">
        <v>230</v>
      </c>
      <c r="L469" s="70">
        <v>0</v>
      </c>
    </row>
    <row r="470" spans="1:12" ht="15" customHeight="1">
      <c r="A470" s="53" t="s">
        <v>216</v>
      </c>
      <c r="B470" s="53" t="s">
        <v>83</v>
      </c>
      <c r="C470" s="54">
        <f t="shared" si="14"/>
        <v>42925.655189999998</v>
      </c>
      <c r="D470" s="54">
        <f t="shared" si="15"/>
        <v>42925.696856666669</v>
      </c>
      <c r="E470" s="63">
        <v>42925</v>
      </c>
      <c r="F470" s="61">
        <v>0.65519000000000005</v>
      </c>
      <c r="G470" s="63">
        <v>42925</v>
      </c>
      <c r="H470" s="61">
        <v>0.69685666666666668</v>
      </c>
      <c r="I470" s="55">
        <v>30</v>
      </c>
      <c r="J470" s="56" t="s">
        <v>229</v>
      </c>
      <c r="K470" s="75" t="s">
        <v>231</v>
      </c>
      <c r="L470" s="70">
        <v>0</v>
      </c>
    </row>
    <row r="471" spans="1:12" ht="15" customHeight="1">
      <c r="A471" s="53" t="s">
        <v>218</v>
      </c>
      <c r="B471" s="53" t="s">
        <v>84</v>
      </c>
      <c r="C471" s="54">
        <f t="shared" si="14"/>
        <v>42818.48558</v>
      </c>
      <c r="D471" s="54">
        <f t="shared" si="15"/>
        <v>42818.527246666665</v>
      </c>
      <c r="E471" s="63">
        <v>42818</v>
      </c>
      <c r="F471" s="61">
        <v>0.48558000000000001</v>
      </c>
      <c r="G471" s="63">
        <v>42818</v>
      </c>
      <c r="H471" s="61">
        <v>0.52724666666666664</v>
      </c>
      <c r="I471" s="55">
        <v>30</v>
      </c>
      <c r="J471" s="56" t="s">
        <v>229</v>
      </c>
      <c r="K471" s="75" t="s">
        <v>231</v>
      </c>
      <c r="L471" s="70">
        <v>0</v>
      </c>
    </row>
    <row r="472" spans="1:12" ht="15" customHeight="1">
      <c r="A472" s="53" t="s">
        <v>219</v>
      </c>
      <c r="B472" s="53" t="s">
        <v>85</v>
      </c>
      <c r="C472" s="54">
        <f t="shared" si="14"/>
        <v>42843.357190000002</v>
      </c>
      <c r="D472" s="54">
        <f t="shared" si="15"/>
        <v>42843.398856666667</v>
      </c>
      <c r="E472" s="63">
        <v>42843</v>
      </c>
      <c r="F472" s="61">
        <v>0.35719000000000001</v>
      </c>
      <c r="G472" s="63">
        <v>42843</v>
      </c>
      <c r="H472" s="61">
        <v>0.39885666666666669</v>
      </c>
      <c r="I472" s="55">
        <v>30</v>
      </c>
      <c r="J472" s="56" t="s">
        <v>229</v>
      </c>
      <c r="K472" s="75" t="s">
        <v>231</v>
      </c>
      <c r="L472" s="70">
        <v>0</v>
      </c>
    </row>
    <row r="473" spans="1:12" ht="15" customHeight="1">
      <c r="A473" s="53" t="s">
        <v>218</v>
      </c>
      <c r="B473" s="53" t="s">
        <v>86</v>
      </c>
      <c r="C473" s="54">
        <f t="shared" si="14"/>
        <v>42963.491130000002</v>
      </c>
      <c r="D473" s="54">
        <f t="shared" si="15"/>
        <v>42963.532796666666</v>
      </c>
      <c r="E473" s="63">
        <v>42963</v>
      </c>
      <c r="F473" s="61">
        <v>0.49113000000000001</v>
      </c>
      <c r="G473" s="63">
        <v>42963</v>
      </c>
      <c r="H473" s="61">
        <v>0.5327966666666667</v>
      </c>
      <c r="I473" s="55">
        <v>30</v>
      </c>
      <c r="J473" s="56" t="s">
        <v>229</v>
      </c>
      <c r="K473" s="75" t="s">
        <v>228</v>
      </c>
      <c r="L473" s="70">
        <v>0</v>
      </c>
    </row>
    <row r="474" spans="1:12" ht="15" customHeight="1">
      <c r="A474" s="53" t="s">
        <v>218</v>
      </c>
      <c r="B474" s="53" t="s">
        <v>87</v>
      </c>
      <c r="C474" s="54">
        <f t="shared" si="14"/>
        <v>42849.646950000002</v>
      </c>
      <c r="D474" s="54">
        <f t="shared" si="15"/>
        <v>42849.688616666666</v>
      </c>
      <c r="E474" s="63">
        <v>42849</v>
      </c>
      <c r="F474" s="61">
        <v>0.64695000000000003</v>
      </c>
      <c r="G474" s="63">
        <v>42849</v>
      </c>
      <c r="H474" s="61">
        <v>0.68861666666666665</v>
      </c>
      <c r="I474" s="55">
        <v>30</v>
      </c>
      <c r="J474" s="56" t="s">
        <v>232</v>
      </c>
      <c r="K474" s="75" t="s">
        <v>231</v>
      </c>
      <c r="L474" s="70">
        <v>0</v>
      </c>
    </row>
    <row r="475" spans="1:12" ht="15" customHeight="1">
      <c r="A475" s="53" t="s">
        <v>218</v>
      </c>
      <c r="B475" s="53" t="s">
        <v>88</v>
      </c>
      <c r="C475" s="54">
        <f t="shared" si="14"/>
        <v>42954.669529999999</v>
      </c>
      <c r="D475" s="54">
        <f t="shared" si="15"/>
        <v>42954.711196666663</v>
      </c>
      <c r="E475" s="63">
        <v>42954</v>
      </c>
      <c r="F475" s="61">
        <v>0.66952999999999996</v>
      </c>
      <c r="G475" s="63">
        <v>42954</v>
      </c>
      <c r="H475" s="61">
        <v>0.71119666666666659</v>
      </c>
      <c r="I475" s="55">
        <v>30</v>
      </c>
      <c r="J475" s="56" t="s">
        <v>227</v>
      </c>
      <c r="K475" s="75" t="s">
        <v>231</v>
      </c>
      <c r="L475" s="70">
        <v>0</v>
      </c>
    </row>
    <row r="476" spans="1:12" ht="15" customHeight="1">
      <c r="A476" s="53" t="s">
        <v>220</v>
      </c>
      <c r="B476" s="53" t="s">
        <v>89</v>
      </c>
      <c r="C476" s="54">
        <f t="shared" si="14"/>
        <v>42974.717089999998</v>
      </c>
      <c r="D476" s="54">
        <f t="shared" si="15"/>
        <v>42974.75875666667</v>
      </c>
      <c r="E476" s="63">
        <v>42974</v>
      </c>
      <c r="F476" s="61">
        <v>0.71709000000000001</v>
      </c>
      <c r="G476" s="63">
        <v>42974</v>
      </c>
      <c r="H476" s="61">
        <v>0.75875666666666663</v>
      </c>
      <c r="I476" s="55">
        <v>30</v>
      </c>
      <c r="J476" s="56" t="s">
        <v>229</v>
      </c>
      <c r="K476" s="75" t="s">
        <v>231</v>
      </c>
      <c r="L476" s="70">
        <v>0</v>
      </c>
    </row>
    <row r="477" spans="1:12" ht="15" customHeight="1">
      <c r="A477" s="53" t="s">
        <v>219</v>
      </c>
      <c r="B477" s="53" t="s">
        <v>90</v>
      </c>
      <c r="C477" s="54">
        <f t="shared" si="14"/>
        <v>42812.513400000003</v>
      </c>
      <c r="D477" s="54">
        <f t="shared" si="15"/>
        <v>42812.555066666668</v>
      </c>
      <c r="E477" s="63">
        <v>42812</v>
      </c>
      <c r="F477" s="61">
        <v>0.51339999999999997</v>
      </c>
      <c r="G477" s="63">
        <v>42812</v>
      </c>
      <c r="H477" s="61">
        <v>0.5550666666666666</v>
      </c>
      <c r="I477" s="55">
        <v>30</v>
      </c>
      <c r="J477" s="56" t="s">
        <v>232</v>
      </c>
      <c r="K477" s="75" t="s">
        <v>228</v>
      </c>
      <c r="L477" s="70">
        <v>0</v>
      </c>
    </row>
    <row r="478" spans="1:12" ht="15" customHeight="1">
      <c r="A478" s="53" t="s">
        <v>218</v>
      </c>
      <c r="B478" s="53" t="s">
        <v>91</v>
      </c>
      <c r="C478" s="54">
        <f t="shared" si="14"/>
        <v>42881.457020000002</v>
      </c>
      <c r="D478" s="54">
        <f t="shared" si="15"/>
        <v>42881.498686666666</v>
      </c>
      <c r="E478" s="63">
        <v>42881</v>
      </c>
      <c r="F478" s="61">
        <v>0.45701999999999998</v>
      </c>
      <c r="G478" s="63">
        <v>42881</v>
      </c>
      <c r="H478" s="61">
        <v>0.49868666666666667</v>
      </c>
      <c r="I478" s="55">
        <v>30</v>
      </c>
      <c r="J478" s="56" t="s">
        <v>229</v>
      </c>
      <c r="K478" s="75" t="s">
        <v>228</v>
      </c>
      <c r="L478" s="70">
        <v>0</v>
      </c>
    </row>
    <row r="479" spans="1:12" ht="15" customHeight="1">
      <c r="A479" s="53" t="s">
        <v>217</v>
      </c>
      <c r="B479" s="53" t="s">
        <v>92</v>
      </c>
      <c r="C479" s="54">
        <f t="shared" si="14"/>
        <v>42980.715479999999</v>
      </c>
      <c r="D479" s="54">
        <f t="shared" si="15"/>
        <v>42980.757146666663</v>
      </c>
      <c r="E479" s="63">
        <v>42980</v>
      </c>
      <c r="F479" s="61">
        <v>0.71548</v>
      </c>
      <c r="G479" s="63">
        <v>42980</v>
      </c>
      <c r="H479" s="61">
        <v>0.75714666666666663</v>
      </c>
      <c r="I479" s="55">
        <v>30</v>
      </c>
      <c r="J479" s="56" t="s">
        <v>232</v>
      </c>
      <c r="K479" s="75" t="s">
        <v>230</v>
      </c>
      <c r="L479" s="70">
        <v>0</v>
      </c>
    </row>
    <row r="480" spans="1:12" ht="15" customHeight="1">
      <c r="A480" s="53" t="s">
        <v>219</v>
      </c>
      <c r="B480" s="53" t="s">
        <v>93</v>
      </c>
      <c r="C480" s="54">
        <f t="shared" si="14"/>
        <v>43062.445500000002</v>
      </c>
      <c r="D480" s="54">
        <f t="shared" si="15"/>
        <v>43062.487166666666</v>
      </c>
      <c r="E480" s="63">
        <v>43062</v>
      </c>
      <c r="F480" s="61">
        <v>0.44550000000000001</v>
      </c>
      <c r="G480" s="63">
        <v>43062</v>
      </c>
      <c r="H480" s="61">
        <v>0.48716666666666669</v>
      </c>
      <c r="I480" s="55">
        <v>30</v>
      </c>
      <c r="J480" s="56" t="s">
        <v>227</v>
      </c>
      <c r="K480" s="75" t="s">
        <v>230</v>
      </c>
      <c r="L480" s="70">
        <v>0</v>
      </c>
    </row>
    <row r="481" spans="1:12" ht="15" customHeight="1">
      <c r="A481" s="53" t="s">
        <v>218</v>
      </c>
      <c r="B481" s="53" t="s">
        <v>94</v>
      </c>
      <c r="C481" s="54">
        <f t="shared" si="14"/>
        <v>42932.429320000003</v>
      </c>
      <c r="D481" s="54">
        <f t="shared" si="15"/>
        <v>42932.470986666667</v>
      </c>
      <c r="E481" s="63">
        <v>42932</v>
      </c>
      <c r="F481" s="61">
        <v>0.42931999999999998</v>
      </c>
      <c r="G481" s="63">
        <v>42932</v>
      </c>
      <c r="H481" s="61">
        <v>0.47098666666666666</v>
      </c>
      <c r="I481" s="55">
        <v>30</v>
      </c>
      <c r="J481" s="56" t="s">
        <v>227</v>
      </c>
      <c r="K481" s="75" t="s">
        <v>228</v>
      </c>
      <c r="L481" s="70">
        <v>0</v>
      </c>
    </row>
    <row r="482" spans="1:12" ht="15" customHeight="1">
      <c r="A482" s="53" t="s">
        <v>219</v>
      </c>
      <c r="B482" s="53" t="s">
        <v>95</v>
      </c>
      <c r="C482" s="54">
        <f t="shared" si="14"/>
        <v>42920.373870000003</v>
      </c>
      <c r="D482" s="54">
        <f t="shared" si="15"/>
        <v>42920.415536666667</v>
      </c>
      <c r="E482" s="63">
        <v>42920</v>
      </c>
      <c r="F482" s="61">
        <v>0.37386999999999998</v>
      </c>
      <c r="G482" s="63">
        <v>42920</v>
      </c>
      <c r="H482" s="61">
        <v>0.41553666666666667</v>
      </c>
      <c r="I482" s="55">
        <v>30</v>
      </c>
      <c r="J482" s="56" t="s">
        <v>229</v>
      </c>
      <c r="K482" s="75" t="s">
        <v>228</v>
      </c>
      <c r="L482" s="70">
        <v>0</v>
      </c>
    </row>
    <row r="483" spans="1:12" ht="15" customHeight="1">
      <c r="A483" s="53" t="s">
        <v>218</v>
      </c>
      <c r="B483" s="53" t="s">
        <v>96</v>
      </c>
      <c r="C483" s="54">
        <f t="shared" si="14"/>
        <v>42977.585930000001</v>
      </c>
      <c r="D483" s="54">
        <f t="shared" si="15"/>
        <v>42977.627596666665</v>
      </c>
      <c r="E483" s="63">
        <v>42977</v>
      </c>
      <c r="F483" s="61">
        <v>0.58592999999999995</v>
      </c>
      <c r="G483" s="63">
        <v>42977</v>
      </c>
      <c r="H483" s="61">
        <v>0.62759666666666658</v>
      </c>
      <c r="I483" s="55">
        <v>30</v>
      </c>
      <c r="J483" s="56" t="s">
        <v>229</v>
      </c>
      <c r="K483" s="75" t="s">
        <v>231</v>
      </c>
      <c r="L483" s="70">
        <v>0</v>
      </c>
    </row>
    <row r="484" spans="1:12" ht="15" customHeight="1">
      <c r="A484" s="53" t="s">
        <v>220</v>
      </c>
      <c r="B484" s="53" t="s">
        <v>97</v>
      </c>
      <c r="C484" s="54">
        <f t="shared" si="14"/>
        <v>42816.48833</v>
      </c>
      <c r="D484" s="54">
        <f t="shared" si="15"/>
        <v>42816.529996666664</v>
      </c>
      <c r="E484" s="63">
        <v>42816</v>
      </c>
      <c r="F484" s="61">
        <v>0.48832999999999999</v>
      </c>
      <c r="G484" s="63">
        <v>42816</v>
      </c>
      <c r="H484" s="61">
        <v>0.52999666666666667</v>
      </c>
      <c r="I484" s="55">
        <v>30</v>
      </c>
      <c r="J484" s="56" t="s">
        <v>227</v>
      </c>
      <c r="K484" s="75" t="s">
        <v>231</v>
      </c>
      <c r="L484" s="70">
        <v>0</v>
      </c>
    </row>
    <row r="485" spans="1:12" ht="15" customHeight="1">
      <c r="A485" s="53" t="s">
        <v>220</v>
      </c>
      <c r="B485" s="53" t="s">
        <v>98</v>
      </c>
      <c r="C485" s="54">
        <f t="shared" si="14"/>
        <v>43085.383520000003</v>
      </c>
      <c r="D485" s="54">
        <f t="shared" si="15"/>
        <v>43085.425186666667</v>
      </c>
      <c r="E485" s="63">
        <v>43085</v>
      </c>
      <c r="F485" s="61">
        <v>0.38352000000000003</v>
      </c>
      <c r="G485" s="63">
        <v>43085</v>
      </c>
      <c r="H485" s="61">
        <v>0.42518666666666671</v>
      </c>
      <c r="I485" s="55">
        <v>30</v>
      </c>
      <c r="J485" s="56" t="s">
        <v>227</v>
      </c>
      <c r="K485" s="75" t="s">
        <v>231</v>
      </c>
      <c r="L485" s="70">
        <v>0</v>
      </c>
    </row>
    <row r="486" spans="1:12" ht="15" customHeight="1">
      <c r="A486" s="53" t="s">
        <v>218</v>
      </c>
      <c r="B486" s="53" t="s">
        <v>99</v>
      </c>
      <c r="C486" s="54">
        <f t="shared" si="14"/>
        <v>42977.556470000003</v>
      </c>
      <c r="D486" s="54">
        <f t="shared" si="15"/>
        <v>42977.598136666667</v>
      </c>
      <c r="E486" s="63">
        <v>42977</v>
      </c>
      <c r="F486" s="61">
        <v>0.55647000000000002</v>
      </c>
      <c r="G486" s="63">
        <v>42977</v>
      </c>
      <c r="H486" s="61">
        <v>0.59813666666666665</v>
      </c>
      <c r="I486" s="55">
        <v>30</v>
      </c>
      <c r="J486" s="56" t="s">
        <v>227</v>
      </c>
      <c r="K486" s="75" t="s">
        <v>230</v>
      </c>
      <c r="L486" s="70">
        <v>0</v>
      </c>
    </row>
    <row r="487" spans="1:12" ht="15" customHeight="1">
      <c r="A487" s="53" t="s">
        <v>217</v>
      </c>
      <c r="B487" s="53" t="s">
        <v>100</v>
      </c>
      <c r="C487" s="54">
        <f t="shared" si="14"/>
        <v>43054.472600000001</v>
      </c>
      <c r="D487" s="54">
        <f t="shared" si="15"/>
        <v>43054.514266666665</v>
      </c>
      <c r="E487" s="63">
        <v>43054</v>
      </c>
      <c r="F487" s="61">
        <v>0.47260000000000002</v>
      </c>
      <c r="G487" s="63">
        <v>43054</v>
      </c>
      <c r="H487" s="61">
        <v>0.51426666666666665</v>
      </c>
      <c r="I487" s="55">
        <v>30</v>
      </c>
      <c r="J487" s="56" t="s">
        <v>227</v>
      </c>
      <c r="K487" s="75" t="s">
        <v>228</v>
      </c>
      <c r="L487" s="70">
        <v>0</v>
      </c>
    </row>
    <row r="488" spans="1:12" ht="15" customHeight="1">
      <c r="A488" s="53" t="s">
        <v>219</v>
      </c>
      <c r="B488" s="53" t="s">
        <v>101</v>
      </c>
      <c r="C488" s="54">
        <f t="shared" si="14"/>
        <v>42793.747490000002</v>
      </c>
      <c r="D488" s="54">
        <f t="shared" si="15"/>
        <v>42793.789156666666</v>
      </c>
      <c r="E488" s="63">
        <v>42793</v>
      </c>
      <c r="F488" s="61">
        <v>0.74748999999999999</v>
      </c>
      <c r="G488" s="63">
        <v>42793</v>
      </c>
      <c r="H488" s="61">
        <v>0.78915666666666662</v>
      </c>
      <c r="I488" s="55">
        <v>30</v>
      </c>
      <c r="J488" s="56" t="s">
        <v>227</v>
      </c>
      <c r="K488" s="75" t="s">
        <v>231</v>
      </c>
      <c r="L488" s="70">
        <v>0</v>
      </c>
    </row>
    <row r="489" spans="1:12" ht="15" customHeight="1">
      <c r="A489" s="53" t="s">
        <v>219</v>
      </c>
      <c r="B489" s="53" t="s">
        <v>102</v>
      </c>
      <c r="C489" s="54">
        <f t="shared" si="14"/>
        <v>42769.345800000003</v>
      </c>
      <c r="D489" s="54">
        <f t="shared" si="15"/>
        <v>42769.387466666667</v>
      </c>
      <c r="E489" s="63">
        <v>42769</v>
      </c>
      <c r="F489" s="61">
        <v>0.3458</v>
      </c>
      <c r="G489" s="63">
        <v>42769</v>
      </c>
      <c r="H489" s="61">
        <v>0.38746666666666668</v>
      </c>
      <c r="I489" s="55">
        <v>30</v>
      </c>
      <c r="J489" s="56" t="s">
        <v>227</v>
      </c>
      <c r="K489" s="75" t="s">
        <v>230</v>
      </c>
      <c r="L489" s="70">
        <v>0</v>
      </c>
    </row>
    <row r="490" spans="1:12" ht="15" customHeight="1">
      <c r="A490" s="53" t="s">
        <v>220</v>
      </c>
      <c r="B490" s="53" t="s">
        <v>103</v>
      </c>
      <c r="C490" s="54">
        <f t="shared" si="14"/>
        <v>42914.365819999999</v>
      </c>
      <c r="D490" s="54">
        <f t="shared" si="15"/>
        <v>42914.407486666663</v>
      </c>
      <c r="E490" s="63">
        <v>42914</v>
      </c>
      <c r="F490" s="61">
        <v>0.36581999999999998</v>
      </c>
      <c r="G490" s="63">
        <v>42914</v>
      </c>
      <c r="H490" s="61">
        <v>0.40748666666666666</v>
      </c>
      <c r="I490" s="55">
        <v>30</v>
      </c>
      <c r="J490" s="56" t="s">
        <v>227</v>
      </c>
      <c r="K490" s="75" t="s">
        <v>228</v>
      </c>
      <c r="L490" s="70">
        <v>0</v>
      </c>
    </row>
    <row r="491" spans="1:12" ht="15" customHeight="1">
      <c r="A491" s="53" t="s">
        <v>219</v>
      </c>
      <c r="B491" s="53" t="s">
        <v>104</v>
      </c>
      <c r="C491" s="54">
        <f t="shared" si="14"/>
        <v>43081.585930000001</v>
      </c>
      <c r="D491" s="54">
        <f t="shared" si="15"/>
        <v>43081.627596666665</v>
      </c>
      <c r="E491" s="63">
        <v>43081</v>
      </c>
      <c r="F491" s="61">
        <v>0.58592999999999995</v>
      </c>
      <c r="G491" s="63">
        <v>43081</v>
      </c>
      <c r="H491" s="61">
        <v>0.62759666666666658</v>
      </c>
      <c r="I491" s="55">
        <v>30</v>
      </c>
      <c r="J491" s="56" t="s">
        <v>232</v>
      </c>
      <c r="K491" s="75" t="s">
        <v>230</v>
      </c>
      <c r="L491" s="70">
        <v>0</v>
      </c>
    </row>
    <row r="492" spans="1:12" ht="15" customHeight="1">
      <c r="A492" s="53" t="s">
        <v>216</v>
      </c>
      <c r="B492" s="53" t="s">
        <v>105</v>
      </c>
      <c r="C492" s="54">
        <f t="shared" si="14"/>
        <v>42890.609969999998</v>
      </c>
      <c r="D492" s="54">
        <f t="shared" si="15"/>
        <v>42890.651636666669</v>
      </c>
      <c r="E492" s="63">
        <v>42890</v>
      </c>
      <c r="F492" s="61">
        <v>0.60997000000000001</v>
      </c>
      <c r="G492" s="63">
        <v>42890</v>
      </c>
      <c r="H492" s="61">
        <v>0.65163666666666664</v>
      </c>
      <c r="I492" s="55">
        <v>30</v>
      </c>
      <c r="J492" s="56" t="s">
        <v>229</v>
      </c>
      <c r="K492" s="75" t="s">
        <v>230</v>
      </c>
      <c r="L492" s="70">
        <v>0</v>
      </c>
    </row>
    <row r="493" spans="1:12" ht="15" customHeight="1">
      <c r="A493" s="53" t="s">
        <v>216</v>
      </c>
      <c r="B493" s="53" t="s">
        <v>106</v>
      </c>
      <c r="C493" s="54">
        <f t="shared" si="14"/>
        <v>42747.561869999998</v>
      </c>
      <c r="D493" s="54">
        <f t="shared" si="15"/>
        <v>42747.603536666669</v>
      </c>
      <c r="E493" s="63">
        <v>42747</v>
      </c>
      <c r="F493" s="61">
        <v>0.56186999999999998</v>
      </c>
      <c r="G493" s="63">
        <v>42747</v>
      </c>
      <c r="H493" s="61">
        <v>0.60353666666666661</v>
      </c>
      <c r="I493" s="55">
        <v>30</v>
      </c>
      <c r="J493" s="56" t="s">
        <v>227</v>
      </c>
      <c r="K493" s="75" t="s">
        <v>228</v>
      </c>
      <c r="L493" s="70">
        <v>0</v>
      </c>
    </row>
    <row r="494" spans="1:12" ht="15" customHeight="1">
      <c r="A494" s="53" t="s">
        <v>216</v>
      </c>
      <c r="B494" s="53" t="s">
        <v>107</v>
      </c>
      <c r="C494" s="54">
        <f t="shared" si="14"/>
        <v>43094.609640000002</v>
      </c>
      <c r="D494" s="54">
        <f t="shared" si="15"/>
        <v>43094.651306666667</v>
      </c>
      <c r="E494" s="63">
        <v>43094</v>
      </c>
      <c r="F494" s="61">
        <v>0.60963999999999996</v>
      </c>
      <c r="G494" s="63">
        <v>43094</v>
      </c>
      <c r="H494" s="61">
        <v>0.65130666666666659</v>
      </c>
      <c r="I494" s="55">
        <v>30</v>
      </c>
      <c r="J494" s="56" t="s">
        <v>232</v>
      </c>
      <c r="K494" s="75" t="s">
        <v>230</v>
      </c>
      <c r="L494" s="70">
        <v>0</v>
      </c>
    </row>
    <row r="495" spans="1:12" ht="15" customHeight="1">
      <c r="A495" s="53" t="s">
        <v>219</v>
      </c>
      <c r="B495" s="53" t="s">
        <v>108</v>
      </c>
      <c r="C495" s="54">
        <f t="shared" si="14"/>
        <v>43045.608240000001</v>
      </c>
      <c r="D495" s="54">
        <f t="shared" si="15"/>
        <v>43045.649906666666</v>
      </c>
      <c r="E495" s="63">
        <v>43045</v>
      </c>
      <c r="F495" s="61">
        <v>0.60824</v>
      </c>
      <c r="G495" s="63">
        <v>43045</v>
      </c>
      <c r="H495" s="61">
        <v>0.64990666666666663</v>
      </c>
      <c r="I495" s="55">
        <v>30</v>
      </c>
      <c r="J495" s="56" t="s">
        <v>229</v>
      </c>
      <c r="K495" s="75" t="s">
        <v>231</v>
      </c>
      <c r="L495" s="70">
        <v>0</v>
      </c>
    </row>
    <row r="496" spans="1:12" ht="15" customHeight="1">
      <c r="A496" s="53" t="s">
        <v>216</v>
      </c>
      <c r="B496" s="53" t="s">
        <v>109</v>
      </c>
      <c r="C496" s="54">
        <f t="shared" si="14"/>
        <v>42832.43849</v>
      </c>
      <c r="D496" s="54">
        <f t="shared" si="15"/>
        <v>42832.480156666665</v>
      </c>
      <c r="E496" s="63">
        <v>42832</v>
      </c>
      <c r="F496" s="61">
        <v>0.43848999999999999</v>
      </c>
      <c r="G496" s="63">
        <v>42832</v>
      </c>
      <c r="H496" s="61">
        <v>0.48015666666666668</v>
      </c>
      <c r="I496" s="55">
        <v>30</v>
      </c>
      <c r="J496" s="56" t="s">
        <v>227</v>
      </c>
      <c r="K496" s="75" t="s">
        <v>231</v>
      </c>
      <c r="L496" s="70">
        <v>0</v>
      </c>
    </row>
    <row r="497" spans="1:12" ht="15" customHeight="1">
      <c r="A497" s="53" t="s">
        <v>219</v>
      </c>
      <c r="B497" s="53" t="s">
        <v>110</v>
      </c>
      <c r="C497" s="54">
        <f t="shared" si="14"/>
        <v>42990.365160000001</v>
      </c>
      <c r="D497" s="54">
        <f t="shared" si="15"/>
        <v>42990.406826666665</v>
      </c>
      <c r="E497" s="63">
        <v>42990</v>
      </c>
      <c r="F497" s="61">
        <v>0.36515999999999998</v>
      </c>
      <c r="G497" s="63">
        <v>42990</v>
      </c>
      <c r="H497" s="61">
        <v>0.40682666666666667</v>
      </c>
      <c r="I497" s="55">
        <v>30</v>
      </c>
      <c r="J497" s="56" t="s">
        <v>227</v>
      </c>
      <c r="K497" s="75" t="s">
        <v>228</v>
      </c>
      <c r="L497" s="70">
        <v>0</v>
      </c>
    </row>
    <row r="498" spans="1:12" ht="15" customHeight="1">
      <c r="A498" s="53" t="s">
        <v>216</v>
      </c>
      <c r="B498" s="53" t="s">
        <v>111</v>
      </c>
      <c r="C498" s="54">
        <f t="shared" si="14"/>
        <v>42971.733910000003</v>
      </c>
      <c r="D498" s="54">
        <f t="shared" si="15"/>
        <v>42971.775576666667</v>
      </c>
      <c r="E498" s="63">
        <v>42971</v>
      </c>
      <c r="F498" s="61">
        <v>0.73390999999999995</v>
      </c>
      <c r="G498" s="63">
        <v>42971</v>
      </c>
      <c r="H498" s="61">
        <v>0.77557666666666658</v>
      </c>
      <c r="I498" s="55">
        <v>30</v>
      </c>
      <c r="J498" s="56" t="s">
        <v>232</v>
      </c>
      <c r="K498" s="75" t="s">
        <v>231</v>
      </c>
      <c r="L498" s="70">
        <v>0</v>
      </c>
    </row>
    <row r="499" spans="1:12" ht="15" customHeight="1">
      <c r="A499" s="53" t="s">
        <v>219</v>
      </c>
      <c r="B499" s="53" t="s">
        <v>112</v>
      </c>
      <c r="C499" s="54">
        <f t="shared" si="14"/>
        <v>43041.403480000001</v>
      </c>
      <c r="D499" s="54">
        <f t="shared" si="15"/>
        <v>43041.445146666665</v>
      </c>
      <c r="E499" s="63">
        <v>43041</v>
      </c>
      <c r="F499" s="61">
        <v>0.40348000000000001</v>
      </c>
      <c r="G499" s="63">
        <v>43041</v>
      </c>
      <c r="H499" s="61">
        <v>0.44514666666666669</v>
      </c>
      <c r="I499" s="55">
        <v>30</v>
      </c>
      <c r="J499" s="56" t="s">
        <v>229</v>
      </c>
      <c r="K499" s="75" t="s">
        <v>228</v>
      </c>
      <c r="L499" s="70">
        <v>0</v>
      </c>
    </row>
    <row r="500" spans="1:12" ht="15" customHeight="1">
      <c r="A500" s="53" t="s">
        <v>217</v>
      </c>
      <c r="B500" s="53" t="s">
        <v>113</v>
      </c>
      <c r="C500" s="54">
        <f t="shared" si="14"/>
        <v>43088.376550000001</v>
      </c>
      <c r="D500" s="54">
        <f t="shared" si="15"/>
        <v>43088.418216666665</v>
      </c>
      <c r="E500" s="63">
        <v>43088</v>
      </c>
      <c r="F500" s="61">
        <v>0.37655</v>
      </c>
      <c r="G500" s="63">
        <v>43088</v>
      </c>
      <c r="H500" s="61">
        <v>0.41821666666666668</v>
      </c>
      <c r="I500" s="55">
        <v>30</v>
      </c>
      <c r="J500" s="56" t="s">
        <v>227</v>
      </c>
      <c r="K500" s="75" t="s">
        <v>228</v>
      </c>
      <c r="L500" s="70">
        <v>0</v>
      </c>
    </row>
    <row r="501" spans="1:12" ht="15" customHeight="1">
      <c r="A501" s="53" t="s">
        <v>218</v>
      </c>
      <c r="B501" s="53" t="s">
        <v>114</v>
      </c>
      <c r="C501" s="54">
        <f t="shared" si="14"/>
        <v>42744.53155</v>
      </c>
      <c r="D501" s="54">
        <f t="shared" si="15"/>
        <v>42744.573216666664</v>
      </c>
      <c r="E501" s="63">
        <v>42744</v>
      </c>
      <c r="F501" s="61">
        <v>0.53154999999999997</v>
      </c>
      <c r="G501" s="63">
        <v>42744</v>
      </c>
      <c r="H501" s="61">
        <v>0.5732166666666666</v>
      </c>
      <c r="I501" s="55">
        <v>30</v>
      </c>
      <c r="J501" s="56" t="s">
        <v>232</v>
      </c>
      <c r="K501" s="75" t="s">
        <v>230</v>
      </c>
      <c r="L501" s="70">
        <v>0</v>
      </c>
    </row>
    <row r="502" spans="1:12" ht="15" customHeight="1">
      <c r="A502" s="53" t="s">
        <v>217</v>
      </c>
      <c r="B502" s="53" t="s">
        <v>115</v>
      </c>
      <c r="C502" s="54">
        <f t="shared" si="14"/>
        <v>43020.53</v>
      </c>
      <c r="D502" s="54">
        <f t="shared" si="15"/>
        <v>43020.571666666663</v>
      </c>
      <c r="E502" s="63">
        <v>43020</v>
      </c>
      <c r="F502" s="61">
        <v>0.53</v>
      </c>
      <c r="G502" s="63">
        <v>43020</v>
      </c>
      <c r="H502" s="61">
        <v>0.57166666666666666</v>
      </c>
      <c r="I502" s="55">
        <v>30</v>
      </c>
      <c r="J502" s="56" t="s">
        <v>229</v>
      </c>
      <c r="K502" s="75" t="s">
        <v>228</v>
      </c>
      <c r="L502" s="70">
        <v>0</v>
      </c>
    </row>
    <row r="503" spans="1:12" ht="15" customHeight="1">
      <c r="A503" s="53" t="s">
        <v>220</v>
      </c>
      <c r="B503" s="53" t="s">
        <v>116</v>
      </c>
      <c r="C503" s="54">
        <f t="shared" si="14"/>
        <v>42932.718459999996</v>
      </c>
      <c r="D503" s="54">
        <f t="shared" si="15"/>
        <v>42932.760126666668</v>
      </c>
      <c r="E503" s="63">
        <v>42932</v>
      </c>
      <c r="F503" s="61">
        <v>0.71845999999999999</v>
      </c>
      <c r="G503" s="63">
        <v>42932</v>
      </c>
      <c r="H503" s="61">
        <v>0.76012666666666662</v>
      </c>
      <c r="I503" s="55">
        <v>30</v>
      </c>
      <c r="J503" s="56" t="s">
        <v>229</v>
      </c>
      <c r="K503" s="75" t="s">
        <v>230</v>
      </c>
      <c r="L503" s="70">
        <v>0</v>
      </c>
    </row>
    <row r="504" spans="1:12" ht="15" customHeight="1">
      <c r="A504" s="53" t="s">
        <v>219</v>
      </c>
      <c r="B504" s="53" t="s">
        <v>117</v>
      </c>
      <c r="C504" s="54">
        <f t="shared" si="14"/>
        <v>42977.534910000002</v>
      </c>
      <c r="D504" s="54">
        <f t="shared" si="15"/>
        <v>42977.576576666666</v>
      </c>
      <c r="E504" s="63">
        <v>42977</v>
      </c>
      <c r="F504" s="61">
        <v>0.53491</v>
      </c>
      <c r="G504" s="63">
        <v>42977</v>
      </c>
      <c r="H504" s="61">
        <v>0.57657666666666663</v>
      </c>
      <c r="I504" s="55">
        <v>30</v>
      </c>
      <c r="J504" s="56" t="s">
        <v>227</v>
      </c>
      <c r="K504" s="75" t="s">
        <v>230</v>
      </c>
      <c r="L504" s="70">
        <v>0</v>
      </c>
    </row>
    <row r="505" spans="1:12" ht="15" customHeight="1">
      <c r="A505" s="53" t="s">
        <v>217</v>
      </c>
      <c r="B505" s="53" t="s">
        <v>118</v>
      </c>
      <c r="C505" s="54">
        <f t="shared" si="14"/>
        <v>42872.362309999997</v>
      </c>
      <c r="D505" s="54">
        <f t="shared" si="15"/>
        <v>42872.403976666668</v>
      </c>
      <c r="E505" s="63">
        <v>42872</v>
      </c>
      <c r="F505" s="61">
        <v>0.36231000000000002</v>
      </c>
      <c r="G505" s="63">
        <v>42872</v>
      </c>
      <c r="H505" s="61">
        <v>0.40397666666666671</v>
      </c>
      <c r="I505" s="55">
        <v>30</v>
      </c>
      <c r="J505" s="56" t="s">
        <v>232</v>
      </c>
      <c r="K505" s="75" t="s">
        <v>230</v>
      </c>
      <c r="L505" s="70">
        <v>0</v>
      </c>
    </row>
    <row r="506" spans="1:12" ht="15" customHeight="1">
      <c r="A506" s="53" t="s">
        <v>216</v>
      </c>
      <c r="B506" s="53" t="s">
        <v>119</v>
      </c>
      <c r="C506" s="54">
        <f t="shared" si="14"/>
        <v>42945.429250000001</v>
      </c>
      <c r="D506" s="54">
        <f t="shared" si="15"/>
        <v>42945.470916666665</v>
      </c>
      <c r="E506" s="63">
        <v>42945</v>
      </c>
      <c r="F506" s="61">
        <v>0.42925000000000002</v>
      </c>
      <c r="G506" s="63">
        <v>42945</v>
      </c>
      <c r="H506" s="61">
        <v>0.47091666666666671</v>
      </c>
      <c r="I506" s="55">
        <v>30</v>
      </c>
      <c r="J506" s="56" t="s">
        <v>232</v>
      </c>
      <c r="K506" s="75" t="s">
        <v>230</v>
      </c>
      <c r="L506" s="70">
        <v>0</v>
      </c>
    </row>
    <row r="507" spans="1:12" ht="15" customHeight="1">
      <c r="A507" s="53" t="s">
        <v>217</v>
      </c>
      <c r="B507" s="53" t="s">
        <v>120</v>
      </c>
      <c r="C507" s="54">
        <f t="shared" si="14"/>
        <v>42777.426800000001</v>
      </c>
      <c r="D507" s="54">
        <f t="shared" si="15"/>
        <v>42777.468466666665</v>
      </c>
      <c r="E507" s="63">
        <v>42777</v>
      </c>
      <c r="F507" s="61">
        <v>0.42680000000000001</v>
      </c>
      <c r="G507" s="63">
        <v>42777</v>
      </c>
      <c r="H507" s="61">
        <v>0.4684666666666667</v>
      </c>
      <c r="I507" s="55">
        <v>30</v>
      </c>
      <c r="J507" s="56" t="s">
        <v>232</v>
      </c>
      <c r="K507" s="75" t="s">
        <v>230</v>
      </c>
      <c r="L507" s="70">
        <v>0</v>
      </c>
    </row>
    <row r="508" spans="1:12" ht="15" customHeight="1">
      <c r="A508" s="53" t="s">
        <v>217</v>
      </c>
      <c r="B508" s="53" t="s">
        <v>121</v>
      </c>
      <c r="C508" s="54">
        <f t="shared" si="14"/>
        <v>42886.601269999999</v>
      </c>
      <c r="D508" s="54">
        <f t="shared" si="15"/>
        <v>42886.642936666663</v>
      </c>
      <c r="E508" s="63">
        <v>42886</v>
      </c>
      <c r="F508" s="61">
        <v>0.60126999999999997</v>
      </c>
      <c r="G508" s="63">
        <v>42886</v>
      </c>
      <c r="H508" s="61">
        <v>0.6429366666666666</v>
      </c>
      <c r="I508" s="55">
        <v>30</v>
      </c>
      <c r="J508" s="56" t="s">
        <v>229</v>
      </c>
      <c r="K508" s="75" t="s">
        <v>230</v>
      </c>
      <c r="L508" s="70">
        <v>0</v>
      </c>
    </row>
    <row r="509" spans="1:12" ht="15" customHeight="1">
      <c r="A509" s="53" t="s">
        <v>220</v>
      </c>
      <c r="B509" s="53" t="s">
        <v>122</v>
      </c>
      <c r="C509" s="54">
        <f t="shared" si="14"/>
        <v>42887.449099999998</v>
      </c>
      <c r="D509" s="54">
        <f t="shared" si="15"/>
        <v>42887.49076666667</v>
      </c>
      <c r="E509" s="63">
        <v>42887</v>
      </c>
      <c r="F509" s="61">
        <v>0.4491</v>
      </c>
      <c r="G509" s="63">
        <v>42887</v>
      </c>
      <c r="H509" s="61">
        <v>0.49076666666666668</v>
      </c>
      <c r="I509" s="55">
        <v>30</v>
      </c>
      <c r="J509" s="56" t="s">
        <v>229</v>
      </c>
      <c r="K509" s="75" t="s">
        <v>230</v>
      </c>
      <c r="L509" s="70">
        <v>0</v>
      </c>
    </row>
    <row r="510" spans="1:12" ht="15" customHeight="1">
      <c r="A510" s="53" t="s">
        <v>217</v>
      </c>
      <c r="B510" s="53" t="s">
        <v>123</v>
      </c>
      <c r="C510" s="54">
        <f t="shared" si="14"/>
        <v>43080.709219999997</v>
      </c>
      <c r="D510" s="54">
        <f t="shared" si="15"/>
        <v>43080.750886666669</v>
      </c>
      <c r="E510" s="63">
        <v>43080</v>
      </c>
      <c r="F510" s="61">
        <v>0.70921999999999996</v>
      </c>
      <c r="G510" s="63">
        <v>43080</v>
      </c>
      <c r="H510" s="61">
        <v>0.75088666666666659</v>
      </c>
      <c r="I510" s="55">
        <v>30</v>
      </c>
      <c r="J510" s="56" t="s">
        <v>229</v>
      </c>
      <c r="K510" s="75" t="s">
        <v>228</v>
      </c>
      <c r="L510" s="70">
        <v>0</v>
      </c>
    </row>
    <row r="511" spans="1:12" ht="15" customHeight="1">
      <c r="A511" s="53" t="s">
        <v>217</v>
      </c>
      <c r="B511" s="53" t="s">
        <v>124</v>
      </c>
      <c r="C511" s="54">
        <f t="shared" si="14"/>
        <v>43092.68462</v>
      </c>
      <c r="D511" s="54">
        <f t="shared" si="15"/>
        <v>43092.726286666664</v>
      </c>
      <c r="E511" s="63">
        <v>43092</v>
      </c>
      <c r="F511" s="61">
        <v>0.68462000000000001</v>
      </c>
      <c r="G511" s="63">
        <v>43092</v>
      </c>
      <c r="H511" s="61">
        <v>0.72628666666666664</v>
      </c>
      <c r="I511" s="55">
        <v>30</v>
      </c>
      <c r="J511" s="56" t="s">
        <v>227</v>
      </c>
      <c r="K511" s="75" t="s">
        <v>230</v>
      </c>
      <c r="L511" s="70">
        <v>0</v>
      </c>
    </row>
    <row r="512" spans="1:12" ht="15" customHeight="1">
      <c r="A512" s="53" t="s">
        <v>219</v>
      </c>
      <c r="B512" s="53" t="s">
        <v>125</v>
      </c>
      <c r="C512" s="54">
        <f t="shared" si="14"/>
        <v>42856.653980000003</v>
      </c>
      <c r="D512" s="54">
        <f t="shared" si="15"/>
        <v>42856.695646666667</v>
      </c>
      <c r="E512" s="63">
        <v>42856</v>
      </c>
      <c r="F512" s="61">
        <v>0.65398000000000001</v>
      </c>
      <c r="G512" s="63">
        <v>42856</v>
      </c>
      <c r="H512" s="61">
        <v>0.69564666666666664</v>
      </c>
      <c r="I512" s="55">
        <v>30</v>
      </c>
      <c r="J512" s="56" t="s">
        <v>232</v>
      </c>
      <c r="K512" s="75" t="s">
        <v>228</v>
      </c>
      <c r="L512" s="70">
        <v>0</v>
      </c>
    </row>
    <row r="513" spans="1:12" ht="15" customHeight="1">
      <c r="A513" s="53" t="s">
        <v>218</v>
      </c>
      <c r="B513" s="53" t="s">
        <v>126</v>
      </c>
      <c r="C513" s="54">
        <f t="shared" si="14"/>
        <v>42950.619559999999</v>
      </c>
      <c r="D513" s="54">
        <f t="shared" si="15"/>
        <v>42950.661226666663</v>
      </c>
      <c r="E513" s="63">
        <v>42950</v>
      </c>
      <c r="F513" s="61">
        <v>0.61956</v>
      </c>
      <c r="G513" s="63">
        <v>42950</v>
      </c>
      <c r="H513" s="61">
        <v>0.66122666666666663</v>
      </c>
      <c r="I513" s="55">
        <v>30</v>
      </c>
      <c r="J513" s="56" t="s">
        <v>232</v>
      </c>
      <c r="K513" s="75" t="s">
        <v>230</v>
      </c>
      <c r="L513" s="70">
        <v>0</v>
      </c>
    </row>
    <row r="514" spans="1:12" ht="15" customHeight="1">
      <c r="A514" s="53" t="s">
        <v>216</v>
      </c>
      <c r="B514" s="53" t="s">
        <v>127</v>
      </c>
      <c r="C514" s="54">
        <f t="shared" si="14"/>
        <v>42913.45177</v>
      </c>
      <c r="D514" s="54">
        <f t="shared" si="15"/>
        <v>42913.493436666664</v>
      </c>
      <c r="E514" s="63">
        <v>42913</v>
      </c>
      <c r="F514" s="61">
        <v>0.45177</v>
      </c>
      <c r="G514" s="63">
        <v>42913</v>
      </c>
      <c r="H514" s="61">
        <v>0.49343666666666669</v>
      </c>
      <c r="I514" s="55">
        <v>30</v>
      </c>
      <c r="J514" s="56" t="s">
        <v>229</v>
      </c>
      <c r="K514" s="75" t="s">
        <v>228</v>
      </c>
      <c r="L514" s="70">
        <v>0</v>
      </c>
    </row>
    <row r="515" spans="1:12" ht="15" customHeight="1">
      <c r="A515" s="53" t="s">
        <v>220</v>
      </c>
      <c r="B515" s="53" t="s">
        <v>128</v>
      </c>
      <c r="C515" s="54">
        <f t="shared" ref="C515:C578" si="16">E515+F515</f>
        <v>42803.334040000002</v>
      </c>
      <c r="D515" s="54">
        <f t="shared" ref="D515:D578" si="17">G515+H515</f>
        <v>42803.375706666666</v>
      </c>
      <c r="E515" s="63">
        <v>42803</v>
      </c>
      <c r="F515" s="61">
        <v>0.33404</v>
      </c>
      <c r="G515" s="63">
        <v>42803</v>
      </c>
      <c r="H515" s="61">
        <v>0.37570666666666669</v>
      </c>
      <c r="I515" s="55">
        <v>30</v>
      </c>
      <c r="J515" s="56" t="s">
        <v>232</v>
      </c>
      <c r="K515" s="75" t="s">
        <v>231</v>
      </c>
      <c r="L515" s="70">
        <v>0</v>
      </c>
    </row>
    <row r="516" spans="1:12" ht="15" customHeight="1">
      <c r="A516" s="53" t="s">
        <v>216</v>
      </c>
      <c r="B516" s="53" t="s">
        <v>129</v>
      </c>
      <c r="C516" s="54">
        <f t="shared" si="16"/>
        <v>43019.418259999999</v>
      </c>
      <c r="D516" s="54">
        <f t="shared" si="17"/>
        <v>43019.45992666667</v>
      </c>
      <c r="E516" s="63">
        <v>43019</v>
      </c>
      <c r="F516" s="61">
        <v>0.41826000000000002</v>
      </c>
      <c r="G516" s="63">
        <v>43019</v>
      </c>
      <c r="H516" s="61">
        <v>0.45992666666666671</v>
      </c>
      <c r="I516" s="55">
        <v>30</v>
      </c>
      <c r="J516" s="56" t="s">
        <v>232</v>
      </c>
      <c r="K516" s="75" t="s">
        <v>230</v>
      </c>
      <c r="L516" s="70">
        <v>0</v>
      </c>
    </row>
    <row r="517" spans="1:12" ht="15" customHeight="1">
      <c r="A517" s="53" t="s">
        <v>220</v>
      </c>
      <c r="B517" s="53" t="s">
        <v>130</v>
      </c>
      <c r="C517" s="54">
        <f t="shared" si="16"/>
        <v>42753.661189999999</v>
      </c>
      <c r="D517" s="54">
        <f t="shared" si="17"/>
        <v>42753.702856666663</v>
      </c>
      <c r="E517" s="63">
        <v>42753</v>
      </c>
      <c r="F517" s="61">
        <v>0.66119000000000006</v>
      </c>
      <c r="G517" s="63">
        <v>42753</v>
      </c>
      <c r="H517" s="61">
        <v>0.70285666666666669</v>
      </c>
      <c r="I517" s="55">
        <v>30</v>
      </c>
      <c r="J517" s="56" t="s">
        <v>227</v>
      </c>
      <c r="K517" s="75" t="s">
        <v>230</v>
      </c>
      <c r="L517" s="70">
        <v>0</v>
      </c>
    </row>
    <row r="518" spans="1:12" ht="15" customHeight="1">
      <c r="A518" s="53" t="s">
        <v>216</v>
      </c>
      <c r="B518" s="53" t="s">
        <v>131</v>
      </c>
      <c r="C518" s="54">
        <f t="shared" si="16"/>
        <v>42880.366300000002</v>
      </c>
      <c r="D518" s="54">
        <f t="shared" si="17"/>
        <v>42880.407966666666</v>
      </c>
      <c r="E518" s="63">
        <v>42880</v>
      </c>
      <c r="F518" s="61">
        <v>0.36630000000000001</v>
      </c>
      <c r="G518" s="63">
        <v>42880</v>
      </c>
      <c r="H518" s="61">
        <v>0.4079666666666667</v>
      </c>
      <c r="I518" s="55">
        <v>30</v>
      </c>
      <c r="J518" s="56" t="s">
        <v>229</v>
      </c>
      <c r="K518" s="75" t="s">
        <v>231</v>
      </c>
      <c r="L518" s="70">
        <v>0</v>
      </c>
    </row>
    <row r="519" spans="1:12" ht="15" customHeight="1">
      <c r="A519" s="53" t="s">
        <v>219</v>
      </c>
      <c r="B519" s="53" t="s">
        <v>132</v>
      </c>
      <c r="C519" s="54">
        <f t="shared" si="16"/>
        <v>43001.741130000002</v>
      </c>
      <c r="D519" s="54">
        <f t="shared" si="17"/>
        <v>43001.782796666666</v>
      </c>
      <c r="E519" s="63">
        <v>43001</v>
      </c>
      <c r="F519" s="61">
        <v>0.74112999999999996</v>
      </c>
      <c r="G519" s="63">
        <v>43001</v>
      </c>
      <c r="H519" s="61">
        <v>0.78279666666666659</v>
      </c>
      <c r="I519" s="55">
        <v>30</v>
      </c>
      <c r="J519" s="56" t="s">
        <v>229</v>
      </c>
      <c r="K519" s="75" t="s">
        <v>231</v>
      </c>
      <c r="L519" s="70">
        <v>0</v>
      </c>
    </row>
    <row r="520" spans="1:12" ht="15" customHeight="1">
      <c r="A520" s="53" t="s">
        <v>216</v>
      </c>
      <c r="B520" s="53" t="s">
        <v>133</v>
      </c>
      <c r="C520" s="54">
        <f t="shared" si="16"/>
        <v>42773.738960000002</v>
      </c>
      <c r="D520" s="54">
        <f t="shared" si="17"/>
        <v>42773.780626666667</v>
      </c>
      <c r="E520" s="63">
        <v>42773</v>
      </c>
      <c r="F520" s="61">
        <v>0.73895999999999995</v>
      </c>
      <c r="G520" s="63">
        <v>42773</v>
      </c>
      <c r="H520" s="61">
        <v>0.78062666666666658</v>
      </c>
      <c r="I520" s="55">
        <v>30</v>
      </c>
      <c r="J520" s="56" t="s">
        <v>227</v>
      </c>
      <c r="K520" s="75" t="s">
        <v>228</v>
      </c>
      <c r="L520" s="70">
        <v>0</v>
      </c>
    </row>
    <row r="521" spans="1:12" ht="15" customHeight="1">
      <c r="A521" s="53" t="s">
        <v>217</v>
      </c>
      <c r="B521" s="53" t="s">
        <v>134</v>
      </c>
      <c r="C521" s="54">
        <f t="shared" si="16"/>
        <v>42879.385770000001</v>
      </c>
      <c r="D521" s="54">
        <f t="shared" si="17"/>
        <v>42879.427436666665</v>
      </c>
      <c r="E521" s="63">
        <v>42879</v>
      </c>
      <c r="F521" s="61">
        <v>0.38577</v>
      </c>
      <c r="G521" s="63">
        <v>42879</v>
      </c>
      <c r="H521" s="61">
        <v>0.42743666666666669</v>
      </c>
      <c r="I521" s="55">
        <v>30</v>
      </c>
      <c r="J521" s="56" t="s">
        <v>232</v>
      </c>
      <c r="K521" s="75" t="s">
        <v>228</v>
      </c>
      <c r="L521" s="70">
        <v>0</v>
      </c>
    </row>
    <row r="522" spans="1:12" ht="15" customHeight="1">
      <c r="A522" s="53" t="s">
        <v>220</v>
      </c>
      <c r="B522" s="53" t="s">
        <v>135</v>
      </c>
      <c r="C522" s="54">
        <f t="shared" si="16"/>
        <v>42845.460780000001</v>
      </c>
      <c r="D522" s="54">
        <f t="shared" si="17"/>
        <v>42845.502446666665</v>
      </c>
      <c r="E522" s="63">
        <v>42845</v>
      </c>
      <c r="F522" s="61">
        <v>0.46078000000000002</v>
      </c>
      <c r="G522" s="63">
        <v>42845</v>
      </c>
      <c r="H522" s="61">
        <v>0.50244666666666671</v>
      </c>
      <c r="I522" s="55">
        <v>30</v>
      </c>
      <c r="J522" s="56" t="s">
        <v>232</v>
      </c>
      <c r="K522" s="75" t="s">
        <v>230</v>
      </c>
      <c r="L522" s="70">
        <v>0</v>
      </c>
    </row>
    <row r="523" spans="1:12" ht="15" customHeight="1">
      <c r="A523" s="53" t="s">
        <v>216</v>
      </c>
      <c r="B523" s="53" t="s">
        <v>136</v>
      </c>
      <c r="C523" s="54">
        <f t="shared" si="16"/>
        <v>43099.601649999997</v>
      </c>
      <c r="D523" s="54">
        <f t="shared" si="17"/>
        <v>43099.643316666668</v>
      </c>
      <c r="E523" s="63">
        <v>43099</v>
      </c>
      <c r="F523" s="61">
        <v>0.60165000000000002</v>
      </c>
      <c r="G523" s="63">
        <v>43099</v>
      </c>
      <c r="H523" s="61">
        <v>0.64331666666666665</v>
      </c>
      <c r="I523" s="55">
        <v>30</v>
      </c>
      <c r="J523" s="56" t="s">
        <v>229</v>
      </c>
      <c r="K523" s="75" t="s">
        <v>230</v>
      </c>
      <c r="L523" s="70">
        <v>0</v>
      </c>
    </row>
    <row r="524" spans="1:12" ht="15" customHeight="1">
      <c r="A524" s="53" t="s">
        <v>217</v>
      </c>
      <c r="B524" s="53" t="s">
        <v>137</v>
      </c>
      <c r="C524" s="54">
        <f t="shared" si="16"/>
        <v>43049.584190000001</v>
      </c>
      <c r="D524" s="54">
        <f t="shared" si="17"/>
        <v>43049.625856666666</v>
      </c>
      <c r="E524" s="63">
        <v>43049</v>
      </c>
      <c r="F524" s="61">
        <v>0.58418999999999999</v>
      </c>
      <c r="G524" s="63">
        <v>43049</v>
      </c>
      <c r="H524" s="61">
        <v>0.62585666666666662</v>
      </c>
      <c r="I524" s="55">
        <v>30</v>
      </c>
      <c r="J524" s="56" t="s">
        <v>229</v>
      </c>
      <c r="K524" s="75" t="s">
        <v>228</v>
      </c>
      <c r="L524" s="70">
        <v>0</v>
      </c>
    </row>
    <row r="525" spans="1:12" ht="15" customHeight="1">
      <c r="A525" s="53" t="s">
        <v>218</v>
      </c>
      <c r="B525" s="53" t="s">
        <v>138</v>
      </c>
      <c r="C525" s="54">
        <f t="shared" si="16"/>
        <v>42834.401989999998</v>
      </c>
      <c r="D525" s="54">
        <f t="shared" si="17"/>
        <v>42834.44365666667</v>
      </c>
      <c r="E525" s="63">
        <v>42834</v>
      </c>
      <c r="F525" s="61">
        <v>0.40199000000000001</v>
      </c>
      <c r="G525" s="63">
        <v>42834</v>
      </c>
      <c r="H525" s="61">
        <v>0.4436566666666667</v>
      </c>
      <c r="I525" s="55">
        <v>30</v>
      </c>
      <c r="J525" s="56" t="s">
        <v>229</v>
      </c>
      <c r="K525" s="75" t="s">
        <v>231</v>
      </c>
      <c r="L525" s="70">
        <v>0</v>
      </c>
    </row>
    <row r="526" spans="1:12" ht="15" customHeight="1">
      <c r="A526" s="53" t="s">
        <v>217</v>
      </c>
      <c r="B526" s="53" t="s">
        <v>139</v>
      </c>
      <c r="C526" s="54">
        <f t="shared" si="16"/>
        <v>42861.602330000002</v>
      </c>
      <c r="D526" s="54">
        <f t="shared" si="17"/>
        <v>42861.643996666666</v>
      </c>
      <c r="E526" s="63">
        <v>42861</v>
      </c>
      <c r="F526" s="61">
        <v>0.60233000000000003</v>
      </c>
      <c r="G526" s="63">
        <v>42861</v>
      </c>
      <c r="H526" s="61">
        <v>0.64399666666666666</v>
      </c>
      <c r="I526" s="55">
        <v>30</v>
      </c>
      <c r="J526" s="56" t="s">
        <v>227</v>
      </c>
      <c r="K526" s="75" t="s">
        <v>228</v>
      </c>
      <c r="L526" s="70">
        <v>0</v>
      </c>
    </row>
    <row r="527" spans="1:12" ht="15" customHeight="1">
      <c r="A527" s="53" t="s">
        <v>219</v>
      </c>
      <c r="B527" s="53" t="s">
        <v>140</v>
      </c>
      <c r="C527" s="54">
        <f t="shared" si="16"/>
        <v>43076.444909999998</v>
      </c>
      <c r="D527" s="54">
        <f t="shared" si="17"/>
        <v>43076.48657666667</v>
      </c>
      <c r="E527" s="63">
        <v>43076</v>
      </c>
      <c r="F527" s="61">
        <v>0.44491000000000003</v>
      </c>
      <c r="G527" s="63">
        <v>43076</v>
      </c>
      <c r="H527" s="61">
        <v>0.48657666666666671</v>
      </c>
      <c r="I527" s="55">
        <v>30</v>
      </c>
      <c r="J527" s="56" t="s">
        <v>227</v>
      </c>
      <c r="K527" s="75" t="s">
        <v>228</v>
      </c>
      <c r="L527" s="70">
        <v>0</v>
      </c>
    </row>
    <row r="528" spans="1:12" ht="15" customHeight="1">
      <c r="A528" s="53" t="s">
        <v>219</v>
      </c>
      <c r="B528" s="53" t="s">
        <v>141</v>
      </c>
      <c r="C528" s="54">
        <f t="shared" si="16"/>
        <v>43074.419450000001</v>
      </c>
      <c r="D528" s="54">
        <f t="shared" si="17"/>
        <v>43074.461116666665</v>
      </c>
      <c r="E528" s="63">
        <v>43074</v>
      </c>
      <c r="F528" s="61">
        <v>0.41944999999999999</v>
      </c>
      <c r="G528" s="63">
        <v>43074</v>
      </c>
      <c r="H528" s="61">
        <v>0.46111666666666667</v>
      </c>
      <c r="I528" s="55">
        <v>30</v>
      </c>
      <c r="J528" s="56" t="s">
        <v>232</v>
      </c>
      <c r="K528" s="75" t="s">
        <v>228</v>
      </c>
      <c r="L528" s="70">
        <v>0</v>
      </c>
    </row>
    <row r="529" spans="1:12" ht="15" customHeight="1">
      <c r="A529" s="53" t="s">
        <v>219</v>
      </c>
      <c r="B529" s="53" t="s">
        <v>142</v>
      </c>
      <c r="C529" s="54">
        <f t="shared" si="16"/>
        <v>42751.749730000003</v>
      </c>
      <c r="D529" s="54">
        <f t="shared" si="17"/>
        <v>42751.791396666667</v>
      </c>
      <c r="E529" s="63">
        <v>42751</v>
      </c>
      <c r="F529" s="61">
        <v>0.74973000000000001</v>
      </c>
      <c r="G529" s="63">
        <v>42751</v>
      </c>
      <c r="H529" s="61">
        <v>0.79139666666666664</v>
      </c>
      <c r="I529" s="55">
        <v>30</v>
      </c>
      <c r="J529" s="56" t="s">
        <v>232</v>
      </c>
      <c r="K529" s="75" t="s">
        <v>231</v>
      </c>
      <c r="L529" s="70">
        <v>0</v>
      </c>
    </row>
    <row r="530" spans="1:12" ht="15" customHeight="1">
      <c r="A530" s="53" t="s">
        <v>219</v>
      </c>
      <c r="B530" s="53" t="s">
        <v>143</v>
      </c>
      <c r="C530" s="54">
        <f t="shared" si="16"/>
        <v>43076.465649999998</v>
      </c>
      <c r="D530" s="54">
        <f t="shared" si="17"/>
        <v>43076.50731666667</v>
      </c>
      <c r="E530" s="63">
        <v>43076</v>
      </c>
      <c r="F530" s="61">
        <v>0.46565000000000001</v>
      </c>
      <c r="G530" s="63">
        <v>43076</v>
      </c>
      <c r="H530" s="61">
        <v>0.50731666666666664</v>
      </c>
      <c r="I530" s="55">
        <v>30</v>
      </c>
      <c r="J530" s="56" t="s">
        <v>227</v>
      </c>
      <c r="K530" s="75" t="s">
        <v>230</v>
      </c>
      <c r="L530" s="70">
        <v>0</v>
      </c>
    </row>
    <row r="531" spans="1:12" ht="15" customHeight="1">
      <c r="A531" s="53" t="s">
        <v>220</v>
      </c>
      <c r="B531" s="53" t="s">
        <v>144</v>
      </c>
      <c r="C531" s="54">
        <f t="shared" si="16"/>
        <v>43001.66459</v>
      </c>
      <c r="D531" s="54">
        <f t="shared" si="17"/>
        <v>43001.706256666665</v>
      </c>
      <c r="E531" s="63">
        <v>43001</v>
      </c>
      <c r="F531" s="61">
        <v>0.66459000000000001</v>
      </c>
      <c r="G531" s="63">
        <v>43001</v>
      </c>
      <c r="H531" s="61">
        <v>0.70625666666666664</v>
      </c>
      <c r="I531" s="55">
        <v>30</v>
      </c>
      <c r="J531" s="56" t="s">
        <v>227</v>
      </c>
      <c r="K531" s="75" t="s">
        <v>231</v>
      </c>
      <c r="L531" s="70">
        <v>0</v>
      </c>
    </row>
    <row r="532" spans="1:12" ht="15" customHeight="1">
      <c r="A532" s="53" t="s">
        <v>216</v>
      </c>
      <c r="B532" s="53" t="s">
        <v>145</v>
      </c>
      <c r="C532" s="54">
        <f t="shared" si="16"/>
        <v>42979.584190000001</v>
      </c>
      <c r="D532" s="54">
        <f t="shared" si="17"/>
        <v>42979.625856666666</v>
      </c>
      <c r="E532" s="63">
        <v>42979</v>
      </c>
      <c r="F532" s="61">
        <v>0.58418999999999999</v>
      </c>
      <c r="G532" s="63">
        <v>42979</v>
      </c>
      <c r="H532" s="61">
        <v>0.62585666666666662</v>
      </c>
      <c r="I532" s="55">
        <v>30</v>
      </c>
      <c r="J532" s="56" t="s">
        <v>229</v>
      </c>
      <c r="K532" s="75" t="s">
        <v>228</v>
      </c>
      <c r="L532" s="70">
        <v>0</v>
      </c>
    </row>
    <row r="533" spans="1:12" ht="15" customHeight="1">
      <c r="A533" s="53" t="s">
        <v>218</v>
      </c>
      <c r="B533" s="53" t="s">
        <v>146</v>
      </c>
      <c r="C533" s="54">
        <f t="shared" si="16"/>
        <v>42760.423450000002</v>
      </c>
      <c r="D533" s="54">
        <f t="shared" si="17"/>
        <v>42760.465116666666</v>
      </c>
      <c r="E533" s="63">
        <v>42760</v>
      </c>
      <c r="F533" s="61">
        <v>0.42344999999999999</v>
      </c>
      <c r="G533" s="63">
        <v>42760</v>
      </c>
      <c r="H533" s="61">
        <v>0.46511666666666668</v>
      </c>
      <c r="I533" s="55">
        <v>30</v>
      </c>
      <c r="J533" s="56" t="s">
        <v>229</v>
      </c>
      <c r="K533" s="75" t="s">
        <v>230</v>
      </c>
      <c r="L533" s="70">
        <v>0</v>
      </c>
    </row>
    <row r="534" spans="1:12" ht="15" customHeight="1">
      <c r="A534" s="53" t="s">
        <v>217</v>
      </c>
      <c r="B534" s="53" t="s">
        <v>147</v>
      </c>
      <c r="C534" s="54">
        <f t="shared" si="16"/>
        <v>42798.63235</v>
      </c>
      <c r="D534" s="54">
        <f t="shared" si="17"/>
        <v>42798.674016666664</v>
      </c>
      <c r="E534" s="63">
        <v>42798</v>
      </c>
      <c r="F534" s="61">
        <v>0.63234999999999997</v>
      </c>
      <c r="G534" s="63">
        <v>42798</v>
      </c>
      <c r="H534" s="61">
        <v>0.6740166666666666</v>
      </c>
      <c r="I534" s="55">
        <v>30</v>
      </c>
      <c r="J534" s="56" t="s">
        <v>227</v>
      </c>
      <c r="K534" s="75" t="s">
        <v>230</v>
      </c>
      <c r="L534" s="70">
        <v>0</v>
      </c>
    </row>
    <row r="535" spans="1:12" ht="15" customHeight="1">
      <c r="A535" s="53" t="s">
        <v>217</v>
      </c>
      <c r="B535" s="53" t="s">
        <v>148</v>
      </c>
      <c r="C535" s="54">
        <f t="shared" si="16"/>
        <v>43009.433140000001</v>
      </c>
      <c r="D535" s="54">
        <f t="shared" si="17"/>
        <v>43009.474806666665</v>
      </c>
      <c r="E535" s="63">
        <v>43009</v>
      </c>
      <c r="F535" s="61">
        <v>0.43314000000000002</v>
      </c>
      <c r="G535" s="63">
        <v>43009</v>
      </c>
      <c r="H535" s="61">
        <v>0.47480666666666671</v>
      </c>
      <c r="I535" s="55">
        <v>30</v>
      </c>
      <c r="J535" s="56" t="s">
        <v>229</v>
      </c>
      <c r="K535" s="75" t="s">
        <v>230</v>
      </c>
      <c r="L535" s="70">
        <v>0</v>
      </c>
    </row>
    <row r="536" spans="1:12" ht="15" customHeight="1">
      <c r="A536" s="53" t="s">
        <v>217</v>
      </c>
      <c r="B536" s="53" t="s">
        <v>149</v>
      </c>
      <c r="C536" s="54">
        <f t="shared" si="16"/>
        <v>42887.553679999997</v>
      </c>
      <c r="D536" s="54">
        <f t="shared" si="17"/>
        <v>42887.595346666669</v>
      </c>
      <c r="E536" s="63">
        <v>42887</v>
      </c>
      <c r="F536" s="61">
        <v>0.55367999999999995</v>
      </c>
      <c r="G536" s="63">
        <v>42887</v>
      </c>
      <c r="H536" s="61">
        <v>0.59534666666666658</v>
      </c>
      <c r="I536" s="55">
        <v>30</v>
      </c>
      <c r="J536" s="56" t="s">
        <v>227</v>
      </c>
      <c r="K536" s="75" t="s">
        <v>228</v>
      </c>
      <c r="L536" s="70">
        <v>0</v>
      </c>
    </row>
    <row r="537" spans="1:12" ht="15" customHeight="1">
      <c r="A537" s="53" t="s">
        <v>219</v>
      </c>
      <c r="B537" s="53" t="s">
        <v>150</v>
      </c>
      <c r="C537" s="54">
        <f t="shared" si="16"/>
        <v>42957.40077</v>
      </c>
      <c r="D537" s="54">
        <f t="shared" si="17"/>
        <v>42957.442436666664</v>
      </c>
      <c r="E537" s="63">
        <v>42957</v>
      </c>
      <c r="F537" s="61">
        <v>0.40077000000000002</v>
      </c>
      <c r="G537" s="63">
        <v>42957</v>
      </c>
      <c r="H537" s="61">
        <v>0.4424366666666667</v>
      </c>
      <c r="I537" s="55">
        <v>30</v>
      </c>
      <c r="J537" s="56" t="s">
        <v>227</v>
      </c>
      <c r="K537" s="75" t="s">
        <v>228</v>
      </c>
      <c r="L537" s="70">
        <v>0</v>
      </c>
    </row>
    <row r="538" spans="1:12" ht="15" customHeight="1">
      <c r="A538" s="53" t="s">
        <v>217</v>
      </c>
      <c r="B538" s="53" t="s">
        <v>151</v>
      </c>
      <c r="C538" s="54">
        <f t="shared" si="16"/>
        <v>42946.660900000003</v>
      </c>
      <c r="D538" s="54">
        <f t="shared" si="17"/>
        <v>42946.702566666667</v>
      </c>
      <c r="E538" s="63">
        <v>42946</v>
      </c>
      <c r="F538" s="61">
        <v>0.66090000000000004</v>
      </c>
      <c r="G538" s="63">
        <v>42946</v>
      </c>
      <c r="H538" s="61">
        <v>0.70256666666666667</v>
      </c>
      <c r="I538" s="55">
        <v>30</v>
      </c>
      <c r="J538" s="56" t="s">
        <v>227</v>
      </c>
      <c r="K538" s="75" t="s">
        <v>230</v>
      </c>
      <c r="L538" s="70">
        <v>0</v>
      </c>
    </row>
    <row r="539" spans="1:12" ht="15" customHeight="1">
      <c r="A539" s="53" t="s">
        <v>217</v>
      </c>
      <c r="B539" s="53" t="s">
        <v>152</v>
      </c>
      <c r="C539" s="54">
        <f t="shared" si="16"/>
        <v>42810.415970000002</v>
      </c>
      <c r="D539" s="54">
        <f t="shared" si="17"/>
        <v>42810.457636666666</v>
      </c>
      <c r="E539" s="63">
        <v>42810</v>
      </c>
      <c r="F539" s="61">
        <v>0.41597000000000001</v>
      </c>
      <c r="G539" s="63">
        <v>42810</v>
      </c>
      <c r="H539" s="61">
        <v>0.45763666666666669</v>
      </c>
      <c r="I539" s="55">
        <v>30</v>
      </c>
      <c r="J539" s="56" t="s">
        <v>229</v>
      </c>
      <c r="K539" s="75" t="s">
        <v>231</v>
      </c>
      <c r="L539" s="70">
        <v>0</v>
      </c>
    </row>
    <row r="540" spans="1:12" ht="15" customHeight="1">
      <c r="A540" s="53" t="s">
        <v>216</v>
      </c>
      <c r="B540" s="53" t="s">
        <v>153</v>
      </c>
      <c r="C540" s="54">
        <f t="shared" si="16"/>
        <v>42871.627240000002</v>
      </c>
      <c r="D540" s="54">
        <f t="shared" si="17"/>
        <v>42871.668906666666</v>
      </c>
      <c r="E540" s="63">
        <v>42871</v>
      </c>
      <c r="F540" s="61">
        <v>0.62724000000000002</v>
      </c>
      <c r="G540" s="63">
        <v>42871</v>
      </c>
      <c r="H540" s="61">
        <v>0.66890666666666665</v>
      </c>
      <c r="I540" s="55">
        <v>30</v>
      </c>
      <c r="J540" s="56" t="s">
        <v>227</v>
      </c>
      <c r="K540" s="75" t="s">
        <v>231</v>
      </c>
      <c r="L540" s="70">
        <v>0</v>
      </c>
    </row>
    <row r="541" spans="1:12" ht="15" customHeight="1">
      <c r="A541" s="53" t="s">
        <v>219</v>
      </c>
      <c r="B541" s="53" t="s">
        <v>154</v>
      </c>
      <c r="C541" s="54">
        <f t="shared" si="16"/>
        <v>42920.646930000003</v>
      </c>
      <c r="D541" s="54">
        <f t="shared" si="17"/>
        <v>42920.688596666667</v>
      </c>
      <c r="E541" s="63">
        <v>42920</v>
      </c>
      <c r="F541" s="61">
        <v>0.64693000000000001</v>
      </c>
      <c r="G541" s="63">
        <v>42920</v>
      </c>
      <c r="H541" s="61">
        <v>0.68859666666666663</v>
      </c>
      <c r="I541" s="55">
        <v>30</v>
      </c>
      <c r="J541" s="56" t="s">
        <v>227</v>
      </c>
      <c r="K541" s="75" t="s">
        <v>231</v>
      </c>
      <c r="L541" s="70">
        <v>0</v>
      </c>
    </row>
    <row r="542" spans="1:12" ht="15" customHeight="1">
      <c r="A542" s="53" t="s">
        <v>218</v>
      </c>
      <c r="B542" s="53" t="s">
        <v>155</v>
      </c>
      <c r="C542" s="54">
        <f t="shared" si="16"/>
        <v>42737.450989999998</v>
      </c>
      <c r="D542" s="54">
        <f t="shared" si="17"/>
        <v>42737.492656666669</v>
      </c>
      <c r="E542" s="63">
        <v>42737</v>
      </c>
      <c r="F542" s="61">
        <v>0.45099</v>
      </c>
      <c r="G542" s="63">
        <v>42737</v>
      </c>
      <c r="H542" s="61">
        <v>0.49265666666666669</v>
      </c>
      <c r="I542" s="55">
        <v>30</v>
      </c>
      <c r="J542" s="56" t="s">
        <v>227</v>
      </c>
      <c r="K542" s="75" t="s">
        <v>231</v>
      </c>
      <c r="L542" s="70">
        <v>0</v>
      </c>
    </row>
    <row r="543" spans="1:12" ht="15" customHeight="1">
      <c r="A543" s="53" t="s">
        <v>220</v>
      </c>
      <c r="B543" s="53" t="s">
        <v>156</v>
      </c>
      <c r="C543" s="54">
        <f t="shared" si="16"/>
        <v>42998.348030000001</v>
      </c>
      <c r="D543" s="54">
        <f t="shared" si="17"/>
        <v>42998.389696666665</v>
      </c>
      <c r="E543" s="63">
        <v>42998</v>
      </c>
      <c r="F543" s="61">
        <v>0.34803000000000001</v>
      </c>
      <c r="G543" s="63">
        <v>42998</v>
      </c>
      <c r="H543" s="61">
        <v>0.38969666666666669</v>
      </c>
      <c r="I543" s="55">
        <v>30</v>
      </c>
      <c r="J543" s="56" t="s">
        <v>229</v>
      </c>
      <c r="K543" s="75" t="s">
        <v>231</v>
      </c>
      <c r="L543" s="70">
        <v>0</v>
      </c>
    </row>
    <row r="544" spans="1:12" ht="15" customHeight="1">
      <c r="A544" s="53" t="s">
        <v>219</v>
      </c>
      <c r="B544" s="53" t="s">
        <v>157</v>
      </c>
      <c r="C544" s="54">
        <f t="shared" si="16"/>
        <v>42853.721539999999</v>
      </c>
      <c r="D544" s="54">
        <f t="shared" si="17"/>
        <v>42853.76320666667</v>
      </c>
      <c r="E544" s="63">
        <v>42853</v>
      </c>
      <c r="F544" s="61">
        <v>0.72153999999999996</v>
      </c>
      <c r="G544" s="63">
        <v>42853</v>
      </c>
      <c r="H544" s="61">
        <v>0.76320666666666659</v>
      </c>
      <c r="I544" s="55">
        <v>30</v>
      </c>
      <c r="J544" s="56" t="s">
        <v>232</v>
      </c>
      <c r="K544" s="75" t="s">
        <v>231</v>
      </c>
      <c r="L544" s="70">
        <v>0</v>
      </c>
    </row>
    <row r="545" spans="1:12" ht="15" customHeight="1">
      <c r="A545" s="53" t="s">
        <v>220</v>
      </c>
      <c r="B545" s="53" t="s">
        <v>158</v>
      </c>
      <c r="C545" s="54">
        <f t="shared" si="16"/>
        <v>42915.747880000003</v>
      </c>
      <c r="D545" s="54">
        <f t="shared" si="17"/>
        <v>42915.789546666667</v>
      </c>
      <c r="E545" s="63">
        <v>42915</v>
      </c>
      <c r="F545" s="61">
        <v>0.74787999999999999</v>
      </c>
      <c r="G545" s="63">
        <v>42915</v>
      </c>
      <c r="H545" s="61">
        <v>0.78954666666666662</v>
      </c>
      <c r="I545" s="55">
        <v>30</v>
      </c>
      <c r="J545" s="56" t="s">
        <v>227</v>
      </c>
      <c r="K545" s="75" t="s">
        <v>230</v>
      </c>
      <c r="L545" s="70">
        <v>0</v>
      </c>
    </row>
    <row r="546" spans="1:12" ht="15" customHeight="1">
      <c r="A546" s="53" t="s">
        <v>218</v>
      </c>
      <c r="B546" s="53" t="s">
        <v>159</v>
      </c>
      <c r="C546" s="54">
        <f t="shared" si="16"/>
        <v>43062.572549999997</v>
      </c>
      <c r="D546" s="54">
        <f t="shared" si="17"/>
        <v>43062.614216666669</v>
      </c>
      <c r="E546" s="63">
        <v>43062</v>
      </c>
      <c r="F546" s="61">
        <v>0.57255</v>
      </c>
      <c r="G546" s="63">
        <v>43062</v>
      </c>
      <c r="H546" s="61">
        <v>0.61421666666666663</v>
      </c>
      <c r="I546" s="55">
        <v>30</v>
      </c>
      <c r="J546" s="56" t="s">
        <v>229</v>
      </c>
      <c r="K546" s="75" t="s">
        <v>230</v>
      </c>
      <c r="L546" s="70">
        <v>0</v>
      </c>
    </row>
    <row r="547" spans="1:12" ht="15" customHeight="1">
      <c r="A547" s="53" t="s">
        <v>217</v>
      </c>
      <c r="B547" s="53" t="s">
        <v>160</v>
      </c>
      <c r="C547" s="54">
        <f t="shared" si="16"/>
        <v>43034.383549999999</v>
      </c>
      <c r="D547" s="54">
        <f t="shared" si="17"/>
        <v>43034.42521666667</v>
      </c>
      <c r="E547" s="63">
        <v>43034</v>
      </c>
      <c r="F547" s="61">
        <v>0.38355</v>
      </c>
      <c r="G547" s="63">
        <v>43034</v>
      </c>
      <c r="H547" s="61">
        <v>0.42521666666666669</v>
      </c>
      <c r="I547" s="55">
        <v>30</v>
      </c>
      <c r="J547" s="56" t="s">
        <v>227</v>
      </c>
      <c r="K547" s="75" t="s">
        <v>231</v>
      </c>
      <c r="L547" s="70">
        <v>0</v>
      </c>
    </row>
    <row r="548" spans="1:12" ht="15" customHeight="1">
      <c r="A548" s="53" t="s">
        <v>217</v>
      </c>
      <c r="B548" s="53" t="s">
        <v>161</v>
      </c>
      <c r="C548" s="54">
        <f t="shared" si="16"/>
        <v>42881.57015</v>
      </c>
      <c r="D548" s="54">
        <f t="shared" si="17"/>
        <v>42881.611816666664</v>
      </c>
      <c r="E548" s="63">
        <v>42881</v>
      </c>
      <c r="F548" s="61">
        <v>0.57015000000000005</v>
      </c>
      <c r="G548" s="63">
        <v>42881</v>
      </c>
      <c r="H548" s="61">
        <v>0.61181666666666668</v>
      </c>
      <c r="I548" s="55">
        <v>30</v>
      </c>
      <c r="J548" s="56" t="s">
        <v>229</v>
      </c>
      <c r="K548" s="75" t="s">
        <v>230</v>
      </c>
      <c r="L548" s="70">
        <v>0</v>
      </c>
    </row>
    <row r="549" spans="1:12" ht="15" customHeight="1">
      <c r="A549" s="53" t="s">
        <v>217</v>
      </c>
      <c r="B549" s="53" t="s">
        <v>162</v>
      </c>
      <c r="C549" s="54">
        <f t="shared" si="16"/>
        <v>42803.407630000002</v>
      </c>
      <c r="D549" s="54">
        <f t="shared" si="17"/>
        <v>42803.449296666666</v>
      </c>
      <c r="E549" s="63">
        <v>42803</v>
      </c>
      <c r="F549" s="61">
        <v>0.40762999999999999</v>
      </c>
      <c r="G549" s="63">
        <v>42803</v>
      </c>
      <c r="H549" s="61">
        <v>0.44929666666666668</v>
      </c>
      <c r="I549" s="55">
        <v>30</v>
      </c>
      <c r="J549" s="56" t="s">
        <v>229</v>
      </c>
      <c r="K549" s="75" t="s">
        <v>230</v>
      </c>
      <c r="L549" s="70">
        <v>0</v>
      </c>
    </row>
    <row r="550" spans="1:12" ht="15" customHeight="1">
      <c r="A550" s="53" t="s">
        <v>217</v>
      </c>
      <c r="B550" s="53" t="s">
        <v>163</v>
      </c>
      <c r="C550" s="54">
        <f t="shared" si="16"/>
        <v>42812.555009999996</v>
      </c>
      <c r="D550" s="54">
        <f t="shared" si="17"/>
        <v>42812.596676666668</v>
      </c>
      <c r="E550" s="63">
        <v>42812</v>
      </c>
      <c r="F550" s="61">
        <v>0.55501</v>
      </c>
      <c r="G550" s="63">
        <v>42812</v>
      </c>
      <c r="H550" s="61">
        <v>0.59667666666666663</v>
      </c>
      <c r="I550" s="55">
        <v>30</v>
      </c>
      <c r="J550" s="56" t="s">
        <v>229</v>
      </c>
      <c r="K550" s="75" t="s">
        <v>231</v>
      </c>
      <c r="L550" s="70">
        <v>0</v>
      </c>
    </row>
    <row r="551" spans="1:12" ht="15" customHeight="1">
      <c r="A551" s="53" t="s">
        <v>219</v>
      </c>
      <c r="B551" s="53" t="s">
        <v>164</v>
      </c>
      <c r="C551" s="54">
        <f t="shared" si="16"/>
        <v>42901.695079999998</v>
      </c>
      <c r="D551" s="54">
        <f t="shared" si="17"/>
        <v>42901.736746666669</v>
      </c>
      <c r="E551" s="63">
        <v>42901</v>
      </c>
      <c r="F551" s="61">
        <v>0.69508000000000003</v>
      </c>
      <c r="G551" s="63">
        <v>42901</v>
      </c>
      <c r="H551" s="61">
        <v>0.73674666666666666</v>
      </c>
      <c r="I551" s="55">
        <v>30</v>
      </c>
      <c r="J551" s="56" t="s">
        <v>227</v>
      </c>
      <c r="K551" s="75" t="s">
        <v>228</v>
      </c>
      <c r="L551" s="70">
        <v>0</v>
      </c>
    </row>
    <row r="552" spans="1:12" ht="15" customHeight="1">
      <c r="A552" s="53" t="s">
        <v>218</v>
      </c>
      <c r="B552" s="53" t="s">
        <v>165</v>
      </c>
      <c r="C552" s="54">
        <f t="shared" si="16"/>
        <v>42773.443789999998</v>
      </c>
      <c r="D552" s="54">
        <f t="shared" si="17"/>
        <v>42773.485456666669</v>
      </c>
      <c r="E552" s="63">
        <v>42773</v>
      </c>
      <c r="F552" s="61">
        <v>0.44379000000000002</v>
      </c>
      <c r="G552" s="63">
        <v>42773</v>
      </c>
      <c r="H552" s="61">
        <v>0.4854566666666667</v>
      </c>
      <c r="I552" s="55">
        <v>30</v>
      </c>
      <c r="J552" s="56" t="s">
        <v>232</v>
      </c>
      <c r="K552" s="75" t="s">
        <v>228</v>
      </c>
      <c r="L552" s="70">
        <v>0</v>
      </c>
    </row>
    <row r="553" spans="1:12" ht="15" customHeight="1">
      <c r="A553" s="53" t="s">
        <v>219</v>
      </c>
      <c r="B553" s="53" t="s">
        <v>166</v>
      </c>
      <c r="C553" s="54">
        <f t="shared" si="16"/>
        <v>42877.499259999997</v>
      </c>
      <c r="D553" s="54">
        <f t="shared" si="17"/>
        <v>42877.540926666668</v>
      </c>
      <c r="E553" s="63">
        <v>42877</v>
      </c>
      <c r="F553" s="61">
        <v>0.49925999999999998</v>
      </c>
      <c r="G553" s="63">
        <v>42877</v>
      </c>
      <c r="H553" s="61">
        <v>0.54092666666666667</v>
      </c>
      <c r="I553" s="55">
        <v>30</v>
      </c>
      <c r="J553" s="56" t="s">
        <v>229</v>
      </c>
      <c r="K553" s="75" t="s">
        <v>228</v>
      </c>
      <c r="L553" s="70">
        <v>0</v>
      </c>
    </row>
    <row r="554" spans="1:12" ht="15" customHeight="1">
      <c r="A554" s="53" t="s">
        <v>216</v>
      </c>
      <c r="B554" s="53" t="s">
        <v>167</v>
      </c>
      <c r="C554" s="54">
        <f t="shared" si="16"/>
        <v>42814.460579999999</v>
      </c>
      <c r="D554" s="54">
        <f t="shared" si="17"/>
        <v>42814.502246666663</v>
      </c>
      <c r="E554" s="63">
        <v>42814</v>
      </c>
      <c r="F554" s="61">
        <v>0.46057999999999999</v>
      </c>
      <c r="G554" s="63">
        <v>42814</v>
      </c>
      <c r="H554" s="61">
        <v>0.50224666666666662</v>
      </c>
      <c r="I554" s="55">
        <v>30</v>
      </c>
      <c r="J554" s="56" t="s">
        <v>227</v>
      </c>
      <c r="K554" s="75" t="s">
        <v>228</v>
      </c>
      <c r="L554" s="70">
        <v>0</v>
      </c>
    </row>
    <row r="555" spans="1:12" ht="15" customHeight="1">
      <c r="A555" s="53" t="s">
        <v>219</v>
      </c>
      <c r="B555" s="53" t="s">
        <v>168</v>
      </c>
      <c r="C555" s="54">
        <f t="shared" si="16"/>
        <v>42811.566429999999</v>
      </c>
      <c r="D555" s="54">
        <f t="shared" si="17"/>
        <v>42811.608096666663</v>
      </c>
      <c r="E555" s="63">
        <v>42811</v>
      </c>
      <c r="F555" s="61">
        <v>0.56642999999999999</v>
      </c>
      <c r="G555" s="63">
        <v>42811</v>
      </c>
      <c r="H555" s="61">
        <v>0.60809666666666662</v>
      </c>
      <c r="I555" s="55">
        <v>30</v>
      </c>
      <c r="J555" s="56" t="s">
        <v>232</v>
      </c>
      <c r="K555" s="75" t="s">
        <v>230</v>
      </c>
      <c r="L555" s="70">
        <v>0</v>
      </c>
    </row>
    <row r="556" spans="1:12" ht="15" customHeight="1">
      <c r="A556" s="53" t="s">
        <v>220</v>
      </c>
      <c r="B556" s="53" t="s">
        <v>169</v>
      </c>
      <c r="C556" s="54">
        <f t="shared" si="16"/>
        <v>42959.741410000002</v>
      </c>
      <c r="D556" s="54">
        <f t="shared" si="17"/>
        <v>42959.783076666667</v>
      </c>
      <c r="E556" s="63">
        <v>42959</v>
      </c>
      <c r="F556" s="61">
        <v>0.74141000000000001</v>
      </c>
      <c r="G556" s="63">
        <v>42959</v>
      </c>
      <c r="H556" s="61">
        <v>0.78307666666666664</v>
      </c>
      <c r="I556" s="55">
        <v>30</v>
      </c>
      <c r="J556" s="56" t="s">
        <v>229</v>
      </c>
      <c r="K556" s="75" t="s">
        <v>230</v>
      </c>
      <c r="L556" s="70">
        <v>0</v>
      </c>
    </row>
    <row r="557" spans="1:12" ht="15" customHeight="1">
      <c r="A557" s="53" t="s">
        <v>217</v>
      </c>
      <c r="B557" s="53" t="s">
        <v>170</v>
      </c>
      <c r="C557" s="54">
        <f t="shared" si="16"/>
        <v>42914.618150000002</v>
      </c>
      <c r="D557" s="54">
        <f t="shared" si="17"/>
        <v>42914.659816666666</v>
      </c>
      <c r="E557" s="63">
        <v>42914</v>
      </c>
      <c r="F557" s="61">
        <v>0.61814999999999998</v>
      </c>
      <c r="G557" s="63">
        <v>42914</v>
      </c>
      <c r="H557" s="61">
        <v>0.65981666666666661</v>
      </c>
      <c r="I557" s="55">
        <v>30</v>
      </c>
      <c r="J557" s="56" t="s">
        <v>232</v>
      </c>
      <c r="K557" s="75" t="s">
        <v>231</v>
      </c>
      <c r="L557" s="70">
        <v>0</v>
      </c>
    </row>
    <row r="558" spans="1:12" ht="15" customHeight="1">
      <c r="A558" s="53" t="s">
        <v>220</v>
      </c>
      <c r="B558" s="53" t="s">
        <v>171</v>
      </c>
      <c r="C558" s="54">
        <f t="shared" si="16"/>
        <v>42777.373670000001</v>
      </c>
      <c r="D558" s="54">
        <f t="shared" si="17"/>
        <v>42777.415336666665</v>
      </c>
      <c r="E558" s="63">
        <v>42777</v>
      </c>
      <c r="F558" s="61">
        <v>0.37367</v>
      </c>
      <c r="G558" s="63">
        <v>42777</v>
      </c>
      <c r="H558" s="61">
        <v>0.41533666666666669</v>
      </c>
      <c r="I558" s="55">
        <v>30</v>
      </c>
      <c r="J558" s="56" t="s">
        <v>227</v>
      </c>
      <c r="K558" s="75" t="s">
        <v>228</v>
      </c>
      <c r="L558" s="70">
        <v>0</v>
      </c>
    </row>
    <row r="559" spans="1:12" ht="15" customHeight="1">
      <c r="A559" s="53" t="s">
        <v>220</v>
      </c>
      <c r="B559" s="53" t="s">
        <v>172</v>
      </c>
      <c r="C559" s="54">
        <f t="shared" si="16"/>
        <v>43011.748599999999</v>
      </c>
      <c r="D559" s="54">
        <f t="shared" si="17"/>
        <v>43011.790266666663</v>
      </c>
      <c r="E559" s="63">
        <v>43011</v>
      </c>
      <c r="F559" s="61">
        <v>0.74860000000000004</v>
      </c>
      <c r="G559" s="63">
        <v>43011</v>
      </c>
      <c r="H559" s="61">
        <v>0.79026666666666667</v>
      </c>
      <c r="I559" s="55">
        <v>30</v>
      </c>
      <c r="J559" s="56" t="s">
        <v>232</v>
      </c>
      <c r="K559" s="75" t="s">
        <v>230</v>
      </c>
      <c r="L559" s="70">
        <v>0</v>
      </c>
    </row>
    <row r="560" spans="1:12" ht="15" customHeight="1">
      <c r="A560" s="53" t="s">
        <v>217</v>
      </c>
      <c r="B560" s="53" t="s">
        <v>173</v>
      </c>
      <c r="C560" s="54">
        <f t="shared" si="16"/>
        <v>43071.408329999998</v>
      </c>
      <c r="D560" s="54">
        <f t="shared" si="17"/>
        <v>43071.44999666667</v>
      </c>
      <c r="E560" s="63">
        <v>43071</v>
      </c>
      <c r="F560" s="61">
        <v>0.40833000000000003</v>
      </c>
      <c r="G560" s="63">
        <v>43071</v>
      </c>
      <c r="H560" s="61">
        <v>0.44999666666666671</v>
      </c>
      <c r="I560" s="55">
        <v>30</v>
      </c>
      <c r="J560" s="56" t="s">
        <v>227</v>
      </c>
      <c r="K560" s="75" t="s">
        <v>231</v>
      </c>
      <c r="L560" s="70">
        <v>0</v>
      </c>
    </row>
    <row r="561" spans="1:12" ht="15" customHeight="1">
      <c r="A561" s="53" t="s">
        <v>218</v>
      </c>
      <c r="B561" s="53" t="s">
        <v>174</v>
      </c>
      <c r="C561" s="54">
        <f t="shared" si="16"/>
        <v>43014.42179</v>
      </c>
      <c r="D561" s="54">
        <f t="shared" si="17"/>
        <v>43014.463456666665</v>
      </c>
      <c r="E561" s="63">
        <v>43014</v>
      </c>
      <c r="F561" s="61">
        <v>0.42179</v>
      </c>
      <c r="G561" s="63">
        <v>43014</v>
      </c>
      <c r="H561" s="61">
        <v>0.46345666666666668</v>
      </c>
      <c r="I561" s="55">
        <v>30</v>
      </c>
      <c r="J561" s="56" t="s">
        <v>229</v>
      </c>
      <c r="K561" s="75" t="s">
        <v>228</v>
      </c>
      <c r="L561" s="70">
        <v>0</v>
      </c>
    </row>
    <row r="562" spans="1:12" ht="15" customHeight="1">
      <c r="A562" s="53" t="s">
        <v>217</v>
      </c>
      <c r="B562" s="53" t="s">
        <v>175</v>
      </c>
      <c r="C562" s="54">
        <f t="shared" si="16"/>
        <v>43001.518770000002</v>
      </c>
      <c r="D562" s="54">
        <f t="shared" si="17"/>
        <v>43001.560436666667</v>
      </c>
      <c r="E562" s="63">
        <v>43001</v>
      </c>
      <c r="F562" s="61">
        <v>0.51876999999999995</v>
      </c>
      <c r="G562" s="63">
        <v>43001</v>
      </c>
      <c r="H562" s="61">
        <v>0.56043666666666658</v>
      </c>
      <c r="I562" s="55">
        <v>30</v>
      </c>
      <c r="J562" s="56" t="s">
        <v>229</v>
      </c>
      <c r="K562" s="75" t="s">
        <v>228</v>
      </c>
      <c r="L562" s="70">
        <v>0</v>
      </c>
    </row>
    <row r="563" spans="1:12" ht="15" customHeight="1">
      <c r="A563" s="53" t="s">
        <v>220</v>
      </c>
      <c r="B563" s="53" t="s">
        <v>176</v>
      </c>
      <c r="C563" s="54">
        <f t="shared" si="16"/>
        <v>42952.604429999999</v>
      </c>
      <c r="D563" s="54">
        <f t="shared" si="17"/>
        <v>42952.646096666664</v>
      </c>
      <c r="E563" s="63">
        <v>42952</v>
      </c>
      <c r="F563" s="61">
        <v>0.60443000000000002</v>
      </c>
      <c r="G563" s="63">
        <v>42952</v>
      </c>
      <c r="H563" s="61">
        <v>0.64609666666666665</v>
      </c>
      <c r="I563" s="55">
        <v>30</v>
      </c>
      <c r="J563" s="56" t="s">
        <v>227</v>
      </c>
      <c r="K563" s="75" t="s">
        <v>230</v>
      </c>
      <c r="L563" s="70">
        <v>0</v>
      </c>
    </row>
    <row r="564" spans="1:12" ht="15" customHeight="1">
      <c r="A564" s="53" t="s">
        <v>220</v>
      </c>
      <c r="B564" s="53" t="s">
        <v>177</v>
      </c>
      <c r="C564" s="54">
        <f t="shared" si="16"/>
        <v>42949.633699999998</v>
      </c>
      <c r="D564" s="54">
        <f t="shared" si="17"/>
        <v>42949.67536666667</v>
      </c>
      <c r="E564" s="63">
        <v>42949</v>
      </c>
      <c r="F564" s="61">
        <v>0.63370000000000004</v>
      </c>
      <c r="G564" s="63">
        <v>42949</v>
      </c>
      <c r="H564" s="61">
        <v>0.67536666666666667</v>
      </c>
      <c r="I564" s="55">
        <v>30</v>
      </c>
      <c r="J564" s="56" t="s">
        <v>232</v>
      </c>
      <c r="K564" s="75" t="s">
        <v>231</v>
      </c>
      <c r="L564" s="70">
        <v>0</v>
      </c>
    </row>
    <row r="565" spans="1:12" ht="15" customHeight="1">
      <c r="A565" s="53" t="s">
        <v>220</v>
      </c>
      <c r="B565" s="53" t="s">
        <v>178</v>
      </c>
      <c r="C565" s="54">
        <f t="shared" si="16"/>
        <v>43085.533589999999</v>
      </c>
      <c r="D565" s="54">
        <f t="shared" si="17"/>
        <v>43085.575256666663</v>
      </c>
      <c r="E565" s="63">
        <v>43085</v>
      </c>
      <c r="F565" s="61">
        <v>0.53359000000000001</v>
      </c>
      <c r="G565" s="63">
        <v>43085</v>
      </c>
      <c r="H565" s="61">
        <v>0.57525666666666664</v>
      </c>
      <c r="I565" s="55">
        <v>30</v>
      </c>
      <c r="J565" s="56" t="s">
        <v>227</v>
      </c>
      <c r="K565" s="75" t="s">
        <v>228</v>
      </c>
      <c r="L565" s="70">
        <v>0</v>
      </c>
    </row>
    <row r="566" spans="1:12" ht="15" customHeight="1">
      <c r="A566" s="53" t="s">
        <v>218</v>
      </c>
      <c r="B566" s="53" t="s">
        <v>179</v>
      </c>
      <c r="C566" s="54">
        <f t="shared" si="16"/>
        <v>42978.658029999999</v>
      </c>
      <c r="D566" s="54">
        <f t="shared" si="17"/>
        <v>42978.69969666667</v>
      </c>
      <c r="E566" s="63">
        <v>42978</v>
      </c>
      <c r="F566" s="61">
        <v>0.65803</v>
      </c>
      <c r="G566" s="63">
        <v>42978</v>
      </c>
      <c r="H566" s="61">
        <v>0.69969666666666663</v>
      </c>
      <c r="I566" s="55">
        <v>30</v>
      </c>
      <c r="J566" s="56" t="s">
        <v>229</v>
      </c>
      <c r="K566" s="75" t="s">
        <v>230</v>
      </c>
      <c r="L566" s="70">
        <v>0</v>
      </c>
    </row>
    <row r="567" spans="1:12" ht="15" customHeight="1">
      <c r="A567" s="53" t="s">
        <v>216</v>
      </c>
      <c r="B567" s="53" t="s">
        <v>180</v>
      </c>
      <c r="C567" s="54">
        <f t="shared" si="16"/>
        <v>42866.57806</v>
      </c>
      <c r="D567" s="54">
        <f t="shared" si="17"/>
        <v>42866.619726666664</v>
      </c>
      <c r="E567" s="63">
        <v>42866</v>
      </c>
      <c r="F567" s="61">
        <v>0.57806000000000002</v>
      </c>
      <c r="G567" s="63">
        <v>42866</v>
      </c>
      <c r="H567" s="61">
        <v>0.61972666666666665</v>
      </c>
      <c r="I567" s="55">
        <v>30</v>
      </c>
      <c r="J567" s="56" t="s">
        <v>227</v>
      </c>
      <c r="K567" s="75" t="s">
        <v>228</v>
      </c>
      <c r="L567" s="70">
        <v>0</v>
      </c>
    </row>
    <row r="568" spans="1:12" ht="15" customHeight="1">
      <c r="A568" s="53" t="s">
        <v>220</v>
      </c>
      <c r="B568" s="53" t="s">
        <v>181</v>
      </c>
      <c r="C568" s="54">
        <f t="shared" si="16"/>
        <v>42920.404860000002</v>
      </c>
      <c r="D568" s="54">
        <f t="shared" si="17"/>
        <v>42920.446526666667</v>
      </c>
      <c r="E568" s="63">
        <v>42920</v>
      </c>
      <c r="F568" s="61">
        <v>0.40486</v>
      </c>
      <c r="G568" s="63">
        <v>42920</v>
      </c>
      <c r="H568" s="61">
        <v>0.44652666666666668</v>
      </c>
      <c r="I568" s="55">
        <v>30</v>
      </c>
      <c r="J568" s="56" t="s">
        <v>229</v>
      </c>
      <c r="K568" s="75" t="s">
        <v>231</v>
      </c>
      <c r="L568" s="70">
        <v>0</v>
      </c>
    </row>
    <row r="569" spans="1:12" ht="15" customHeight="1">
      <c r="A569" s="53" t="s">
        <v>217</v>
      </c>
      <c r="B569" s="53" t="s">
        <v>182</v>
      </c>
      <c r="C569" s="54">
        <f t="shared" si="16"/>
        <v>42948.624929999998</v>
      </c>
      <c r="D569" s="54">
        <f t="shared" si="17"/>
        <v>42948.66659666667</v>
      </c>
      <c r="E569" s="63">
        <v>42948</v>
      </c>
      <c r="F569" s="61">
        <v>0.62492999999999999</v>
      </c>
      <c r="G569" s="63">
        <v>42948</v>
      </c>
      <c r="H569" s="61">
        <v>0.66659666666666662</v>
      </c>
      <c r="I569" s="55">
        <v>30</v>
      </c>
      <c r="J569" s="56" t="s">
        <v>227</v>
      </c>
      <c r="K569" s="75" t="s">
        <v>231</v>
      </c>
      <c r="L569" s="70">
        <v>0</v>
      </c>
    </row>
    <row r="570" spans="1:12" ht="15" customHeight="1">
      <c r="A570" s="53" t="s">
        <v>218</v>
      </c>
      <c r="B570" s="53" t="s">
        <v>183</v>
      </c>
      <c r="C570" s="54">
        <f t="shared" si="16"/>
        <v>43010.606079999998</v>
      </c>
      <c r="D570" s="54">
        <f t="shared" si="17"/>
        <v>43010.647746666669</v>
      </c>
      <c r="E570" s="63">
        <v>43010</v>
      </c>
      <c r="F570" s="61">
        <v>0.60607999999999995</v>
      </c>
      <c r="G570" s="63">
        <v>43010</v>
      </c>
      <c r="H570" s="61">
        <v>0.64774666666666658</v>
      </c>
      <c r="I570" s="55">
        <v>30</v>
      </c>
      <c r="J570" s="56" t="s">
        <v>229</v>
      </c>
      <c r="K570" s="75" t="s">
        <v>228</v>
      </c>
      <c r="L570" s="70">
        <v>0</v>
      </c>
    </row>
    <row r="571" spans="1:12" ht="15" customHeight="1">
      <c r="A571" s="53" t="s">
        <v>219</v>
      </c>
      <c r="B571" s="53" t="s">
        <v>184</v>
      </c>
      <c r="C571" s="54">
        <f t="shared" si="16"/>
        <v>42951.594689999998</v>
      </c>
      <c r="D571" s="54">
        <f t="shared" si="17"/>
        <v>42951.63635666667</v>
      </c>
      <c r="E571" s="63">
        <v>42951</v>
      </c>
      <c r="F571" s="61">
        <v>0.59469000000000005</v>
      </c>
      <c r="G571" s="63">
        <v>42951</v>
      </c>
      <c r="H571" s="61">
        <v>0.63635666666666668</v>
      </c>
      <c r="I571" s="55">
        <v>30</v>
      </c>
      <c r="J571" s="56" t="s">
        <v>227</v>
      </c>
      <c r="K571" s="75" t="s">
        <v>230</v>
      </c>
      <c r="L571" s="70">
        <v>0</v>
      </c>
    </row>
    <row r="572" spans="1:12" ht="15" customHeight="1">
      <c r="A572" s="53" t="s">
        <v>217</v>
      </c>
      <c r="B572" s="53" t="s">
        <v>185</v>
      </c>
      <c r="C572" s="54">
        <f t="shared" si="16"/>
        <v>43011.767140000004</v>
      </c>
      <c r="D572" s="54">
        <f t="shared" si="17"/>
        <v>43011.808806666668</v>
      </c>
      <c r="E572" s="63">
        <v>43011</v>
      </c>
      <c r="F572" s="61">
        <v>0.76714000000000004</v>
      </c>
      <c r="G572" s="63">
        <v>43011</v>
      </c>
      <c r="H572" s="61">
        <v>0.80880666666666667</v>
      </c>
      <c r="I572" s="55">
        <v>30</v>
      </c>
      <c r="J572" s="56" t="s">
        <v>227</v>
      </c>
      <c r="K572" s="75" t="s">
        <v>228</v>
      </c>
      <c r="L572" s="70">
        <v>0</v>
      </c>
    </row>
    <row r="573" spans="1:12" ht="15" customHeight="1">
      <c r="A573" s="53" t="s">
        <v>220</v>
      </c>
      <c r="B573" s="53" t="s">
        <v>186</v>
      </c>
      <c r="C573" s="54">
        <f t="shared" si="16"/>
        <v>42871.493269999999</v>
      </c>
      <c r="D573" s="54">
        <f t="shared" si="17"/>
        <v>42871.534936666663</v>
      </c>
      <c r="E573" s="63">
        <v>42871</v>
      </c>
      <c r="F573" s="61">
        <v>0.49326999999999999</v>
      </c>
      <c r="G573" s="63">
        <v>42871</v>
      </c>
      <c r="H573" s="61">
        <v>0.53493666666666662</v>
      </c>
      <c r="I573" s="55">
        <v>30</v>
      </c>
      <c r="J573" s="56" t="s">
        <v>232</v>
      </c>
      <c r="K573" s="75" t="s">
        <v>231</v>
      </c>
      <c r="L573" s="70">
        <v>0</v>
      </c>
    </row>
    <row r="574" spans="1:12" ht="15" customHeight="1">
      <c r="A574" s="53" t="s">
        <v>219</v>
      </c>
      <c r="B574" s="53" t="s">
        <v>187</v>
      </c>
      <c r="C574" s="54">
        <f t="shared" si="16"/>
        <v>42993.733419999997</v>
      </c>
      <c r="D574" s="54">
        <f t="shared" si="17"/>
        <v>42993.775086666668</v>
      </c>
      <c r="E574" s="63">
        <v>42993</v>
      </c>
      <c r="F574" s="61">
        <v>0.73341999999999996</v>
      </c>
      <c r="G574" s="63">
        <v>42993</v>
      </c>
      <c r="H574" s="61">
        <v>0.77508666666666659</v>
      </c>
      <c r="I574" s="55">
        <v>30</v>
      </c>
      <c r="J574" s="56" t="s">
        <v>227</v>
      </c>
      <c r="K574" s="75" t="s">
        <v>230</v>
      </c>
      <c r="L574" s="70">
        <v>0</v>
      </c>
    </row>
    <row r="575" spans="1:12" ht="15" customHeight="1">
      <c r="A575" s="53" t="s">
        <v>216</v>
      </c>
      <c r="B575" s="53" t="s">
        <v>188</v>
      </c>
      <c r="C575" s="54">
        <f t="shared" si="16"/>
        <v>42940.583550000003</v>
      </c>
      <c r="D575" s="54">
        <f t="shared" si="17"/>
        <v>42940.625216666667</v>
      </c>
      <c r="E575" s="63">
        <v>42940</v>
      </c>
      <c r="F575" s="61">
        <v>0.58355000000000001</v>
      </c>
      <c r="G575" s="63">
        <v>42940</v>
      </c>
      <c r="H575" s="61">
        <v>0.62521666666666664</v>
      </c>
      <c r="I575" s="55">
        <v>30</v>
      </c>
      <c r="J575" s="56" t="s">
        <v>232</v>
      </c>
      <c r="K575" s="75" t="s">
        <v>228</v>
      </c>
      <c r="L575" s="70">
        <v>0</v>
      </c>
    </row>
    <row r="576" spans="1:12" ht="15" customHeight="1">
      <c r="A576" s="53" t="s">
        <v>216</v>
      </c>
      <c r="B576" s="53" t="s">
        <v>189</v>
      </c>
      <c r="C576" s="54">
        <f t="shared" si="16"/>
        <v>42929.6823</v>
      </c>
      <c r="D576" s="54">
        <f t="shared" si="17"/>
        <v>42929.723966666665</v>
      </c>
      <c r="E576" s="63">
        <v>42929</v>
      </c>
      <c r="F576" s="61">
        <v>0.68230000000000002</v>
      </c>
      <c r="G576" s="63">
        <v>42929</v>
      </c>
      <c r="H576" s="61">
        <v>0.72396666666666665</v>
      </c>
      <c r="I576" s="55">
        <v>30</v>
      </c>
      <c r="J576" s="56" t="s">
        <v>232</v>
      </c>
      <c r="K576" s="75" t="s">
        <v>231</v>
      </c>
      <c r="L576" s="70">
        <v>0</v>
      </c>
    </row>
    <row r="577" spans="1:12" ht="15" customHeight="1">
      <c r="A577" s="53" t="s">
        <v>220</v>
      </c>
      <c r="B577" s="53" t="s">
        <v>190</v>
      </c>
      <c r="C577" s="54">
        <f t="shared" si="16"/>
        <v>42832.550199999998</v>
      </c>
      <c r="D577" s="54">
        <f t="shared" si="17"/>
        <v>42832.591866666669</v>
      </c>
      <c r="E577" s="63">
        <v>42832</v>
      </c>
      <c r="F577" s="61">
        <v>0.55020000000000002</v>
      </c>
      <c r="G577" s="63">
        <v>42832</v>
      </c>
      <c r="H577" s="61">
        <v>0.59186666666666665</v>
      </c>
      <c r="I577" s="55">
        <v>30</v>
      </c>
      <c r="J577" s="56" t="s">
        <v>227</v>
      </c>
      <c r="K577" s="75" t="s">
        <v>230</v>
      </c>
      <c r="L577" s="70">
        <v>0</v>
      </c>
    </row>
    <row r="578" spans="1:12" ht="15" customHeight="1">
      <c r="A578" s="53" t="s">
        <v>218</v>
      </c>
      <c r="B578" s="53" t="s">
        <v>191</v>
      </c>
      <c r="C578" s="54">
        <f t="shared" si="16"/>
        <v>42834.621749999998</v>
      </c>
      <c r="D578" s="54">
        <f t="shared" si="17"/>
        <v>42834.66341666667</v>
      </c>
      <c r="E578" s="63">
        <v>42834</v>
      </c>
      <c r="F578" s="61">
        <v>0.62175000000000002</v>
      </c>
      <c r="G578" s="63">
        <v>42834</v>
      </c>
      <c r="H578" s="61">
        <v>0.66341666666666665</v>
      </c>
      <c r="I578" s="55">
        <v>30</v>
      </c>
      <c r="J578" s="56" t="s">
        <v>229</v>
      </c>
      <c r="K578" s="75" t="s">
        <v>231</v>
      </c>
      <c r="L578" s="70">
        <v>0</v>
      </c>
    </row>
    <row r="579" spans="1:12" ht="15" customHeight="1">
      <c r="A579" s="53" t="s">
        <v>217</v>
      </c>
      <c r="B579" s="53" t="s">
        <v>192</v>
      </c>
      <c r="C579" s="54">
        <f t="shared" ref="C579:C642" si="18">E579+F579</f>
        <v>42799.512739999998</v>
      </c>
      <c r="D579" s="54">
        <f t="shared" ref="D579:D642" si="19">G579+H579</f>
        <v>42799.55440666667</v>
      </c>
      <c r="E579" s="63">
        <v>42799</v>
      </c>
      <c r="F579" s="61">
        <v>0.51273999999999997</v>
      </c>
      <c r="G579" s="63">
        <v>42799</v>
      </c>
      <c r="H579" s="61">
        <v>0.5544066666666666</v>
      </c>
      <c r="I579" s="55">
        <v>30</v>
      </c>
      <c r="J579" s="56" t="s">
        <v>227</v>
      </c>
      <c r="K579" s="75" t="s">
        <v>231</v>
      </c>
      <c r="L579" s="70">
        <v>0</v>
      </c>
    </row>
    <row r="580" spans="1:12" ht="15" customHeight="1">
      <c r="A580" s="53" t="s">
        <v>219</v>
      </c>
      <c r="B580" s="53" t="s">
        <v>193</v>
      </c>
      <c r="C580" s="54">
        <f t="shared" si="18"/>
        <v>42884.689700000003</v>
      </c>
      <c r="D580" s="54">
        <f t="shared" si="19"/>
        <v>42884.731366666667</v>
      </c>
      <c r="E580" s="63">
        <v>42884</v>
      </c>
      <c r="F580" s="61">
        <v>0.68969999999999998</v>
      </c>
      <c r="G580" s="63">
        <v>42884</v>
      </c>
      <c r="H580" s="61">
        <v>0.73136666666666661</v>
      </c>
      <c r="I580" s="55">
        <v>30</v>
      </c>
      <c r="J580" s="56" t="s">
        <v>232</v>
      </c>
      <c r="K580" s="75" t="s">
        <v>230</v>
      </c>
      <c r="L580" s="70">
        <v>0</v>
      </c>
    </row>
    <row r="581" spans="1:12" ht="15" customHeight="1">
      <c r="A581" s="53" t="s">
        <v>216</v>
      </c>
      <c r="B581" s="53" t="s">
        <v>194</v>
      </c>
      <c r="C581" s="54">
        <f t="shared" si="18"/>
        <v>42766.681530000002</v>
      </c>
      <c r="D581" s="54">
        <f t="shared" si="19"/>
        <v>42766.723196666666</v>
      </c>
      <c r="E581" s="63">
        <v>42766</v>
      </c>
      <c r="F581" s="61">
        <v>0.68152999999999997</v>
      </c>
      <c r="G581" s="63">
        <v>42766</v>
      </c>
      <c r="H581" s="61">
        <v>0.7231966666666666</v>
      </c>
      <c r="I581" s="55">
        <v>30</v>
      </c>
      <c r="J581" s="56" t="s">
        <v>227</v>
      </c>
      <c r="K581" s="75" t="s">
        <v>231</v>
      </c>
      <c r="L581" s="70">
        <v>0</v>
      </c>
    </row>
    <row r="582" spans="1:12" ht="15" customHeight="1">
      <c r="A582" s="53" t="s">
        <v>219</v>
      </c>
      <c r="B582" s="53" t="s">
        <v>195</v>
      </c>
      <c r="C582" s="54">
        <f t="shared" si="18"/>
        <v>42785.684860000001</v>
      </c>
      <c r="D582" s="54">
        <f t="shared" si="19"/>
        <v>42785.726526666665</v>
      </c>
      <c r="E582" s="63">
        <v>42785</v>
      </c>
      <c r="F582" s="61">
        <v>0.68486000000000002</v>
      </c>
      <c r="G582" s="63">
        <v>42785</v>
      </c>
      <c r="H582" s="61">
        <v>0.72652666666666665</v>
      </c>
      <c r="I582" s="55">
        <v>30</v>
      </c>
      <c r="J582" s="56" t="s">
        <v>229</v>
      </c>
      <c r="K582" s="75" t="s">
        <v>231</v>
      </c>
      <c r="L582" s="70">
        <v>0</v>
      </c>
    </row>
    <row r="583" spans="1:12" ht="15" customHeight="1">
      <c r="A583" s="53" t="s">
        <v>216</v>
      </c>
      <c r="B583" s="53" t="s">
        <v>196</v>
      </c>
      <c r="C583" s="54">
        <f t="shared" si="18"/>
        <v>42927.699820000002</v>
      </c>
      <c r="D583" s="54">
        <f t="shared" si="19"/>
        <v>42927.741486666666</v>
      </c>
      <c r="E583" s="63">
        <v>42927</v>
      </c>
      <c r="F583" s="61">
        <v>0.69982</v>
      </c>
      <c r="G583" s="63">
        <v>42927</v>
      </c>
      <c r="H583" s="61">
        <v>0.74148666666666663</v>
      </c>
      <c r="I583" s="55">
        <v>30</v>
      </c>
      <c r="J583" s="56" t="s">
        <v>229</v>
      </c>
      <c r="K583" s="75" t="s">
        <v>230</v>
      </c>
      <c r="L583" s="70">
        <v>0</v>
      </c>
    </row>
    <row r="584" spans="1:12" ht="15" customHeight="1">
      <c r="A584" s="53" t="s">
        <v>220</v>
      </c>
      <c r="B584" s="53" t="s">
        <v>197</v>
      </c>
      <c r="C584" s="54">
        <f t="shared" si="18"/>
        <v>42925.376700000001</v>
      </c>
      <c r="D584" s="54">
        <f t="shared" si="19"/>
        <v>42925.418366666665</v>
      </c>
      <c r="E584" s="63">
        <v>42925</v>
      </c>
      <c r="F584" s="61">
        <v>0.37669999999999998</v>
      </c>
      <c r="G584" s="63">
        <v>42925</v>
      </c>
      <c r="H584" s="61">
        <v>0.41836666666666666</v>
      </c>
      <c r="I584" s="55">
        <v>30</v>
      </c>
      <c r="J584" s="56" t="s">
        <v>229</v>
      </c>
      <c r="K584" s="75" t="s">
        <v>231</v>
      </c>
      <c r="L584" s="70">
        <v>0</v>
      </c>
    </row>
    <row r="585" spans="1:12" ht="15" customHeight="1">
      <c r="A585" s="53" t="s">
        <v>218</v>
      </c>
      <c r="B585" s="53" t="s">
        <v>198</v>
      </c>
      <c r="C585" s="54">
        <f t="shared" si="18"/>
        <v>42763.671040000001</v>
      </c>
      <c r="D585" s="54">
        <f t="shared" si="19"/>
        <v>42763.712706666665</v>
      </c>
      <c r="E585" s="63">
        <v>42763</v>
      </c>
      <c r="F585" s="61">
        <v>0.67103999999999997</v>
      </c>
      <c r="G585" s="63">
        <v>42763</v>
      </c>
      <c r="H585" s="61">
        <v>0.7127066666666666</v>
      </c>
      <c r="I585" s="55">
        <v>30</v>
      </c>
      <c r="J585" s="56" t="s">
        <v>232</v>
      </c>
      <c r="K585" s="75" t="s">
        <v>228</v>
      </c>
      <c r="L585" s="70">
        <v>0</v>
      </c>
    </row>
    <row r="586" spans="1:12" ht="15" customHeight="1">
      <c r="A586" s="53" t="s">
        <v>218</v>
      </c>
      <c r="B586" s="53" t="s">
        <v>199</v>
      </c>
      <c r="C586" s="54">
        <f t="shared" si="18"/>
        <v>42950.345009999997</v>
      </c>
      <c r="D586" s="54">
        <f t="shared" si="19"/>
        <v>42950.386676666669</v>
      </c>
      <c r="E586" s="63">
        <v>42950</v>
      </c>
      <c r="F586" s="61">
        <v>0.34500999999999998</v>
      </c>
      <c r="G586" s="63">
        <v>42950</v>
      </c>
      <c r="H586" s="61">
        <v>0.38667666666666667</v>
      </c>
      <c r="I586" s="55">
        <v>30</v>
      </c>
      <c r="J586" s="56" t="s">
        <v>232</v>
      </c>
      <c r="K586" s="75" t="s">
        <v>230</v>
      </c>
      <c r="L586" s="70">
        <v>0</v>
      </c>
    </row>
    <row r="587" spans="1:12" ht="15" customHeight="1">
      <c r="A587" s="53" t="s">
        <v>220</v>
      </c>
      <c r="B587" s="53" t="s">
        <v>200</v>
      </c>
      <c r="C587" s="54">
        <f t="shared" si="18"/>
        <v>42904.494659999997</v>
      </c>
      <c r="D587" s="54">
        <f t="shared" si="19"/>
        <v>42904.536326666668</v>
      </c>
      <c r="E587" s="63">
        <v>42904</v>
      </c>
      <c r="F587" s="61">
        <v>0.49465999999999999</v>
      </c>
      <c r="G587" s="63">
        <v>42904</v>
      </c>
      <c r="H587" s="61">
        <v>0.53632666666666662</v>
      </c>
      <c r="I587" s="55">
        <v>30</v>
      </c>
      <c r="J587" s="56" t="s">
        <v>232</v>
      </c>
      <c r="K587" s="75" t="s">
        <v>230</v>
      </c>
      <c r="L587" s="70">
        <v>0</v>
      </c>
    </row>
    <row r="588" spans="1:12" ht="15" customHeight="1">
      <c r="A588" s="53" t="s">
        <v>216</v>
      </c>
      <c r="B588" s="53" t="s">
        <v>201</v>
      </c>
      <c r="C588" s="54">
        <f t="shared" si="18"/>
        <v>42745.602350000001</v>
      </c>
      <c r="D588" s="54">
        <f t="shared" si="19"/>
        <v>42745.644016666665</v>
      </c>
      <c r="E588" s="63">
        <v>42745</v>
      </c>
      <c r="F588" s="61">
        <v>0.60235000000000005</v>
      </c>
      <c r="G588" s="63">
        <v>42745</v>
      </c>
      <c r="H588" s="61">
        <v>0.64401666666666668</v>
      </c>
      <c r="I588" s="55">
        <v>30</v>
      </c>
      <c r="J588" s="56" t="s">
        <v>227</v>
      </c>
      <c r="K588" s="75" t="s">
        <v>230</v>
      </c>
      <c r="L588" s="70">
        <v>0</v>
      </c>
    </row>
    <row r="589" spans="1:12" ht="15" customHeight="1">
      <c r="A589" s="53" t="s">
        <v>220</v>
      </c>
      <c r="B589" s="53" t="s">
        <v>202</v>
      </c>
      <c r="C589" s="54">
        <f t="shared" si="18"/>
        <v>42753.599000000002</v>
      </c>
      <c r="D589" s="54">
        <f t="shared" si="19"/>
        <v>42753.640666666666</v>
      </c>
      <c r="E589" s="63">
        <v>42753</v>
      </c>
      <c r="F589" s="61">
        <v>0.59899999999999998</v>
      </c>
      <c r="G589" s="63">
        <v>42753</v>
      </c>
      <c r="H589" s="61">
        <v>0.64066666666666661</v>
      </c>
      <c r="I589" s="55">
        <v>30</v>
      </c>
      <c r="J589" s="56" t="s">
        <v>232</v>
      </c>
      <c r="K589" s="75" t="s">
        <v>231</v>
      </c>
      <c r="L589" s="70">
        <v>0</v>
      </c>
    </row>
    <row r="590" spans="1:12" ht="15" customHeight="1">
      <c r="A590" s="53" t="s">
        <v>216</v>
      </c>
      <c r="B590" s="53" t="s">
        <v>203</v>
      </c>
      <c r="C590" s="54">
        <f t="shared" si="18"/>
        <v>43023.715649999998</v>
      </c>
      <c r="D590" s="54">
        <f t="shared" si="19"/>
        <v>43023.75731666667</v>
      </c>
      <c r="E590" s="63">
        <v>43023</v>
      </c>
      <c r="F590" s="61">
        <v>0.71565000000000001</v>
      </c>
      <c r="G590" s="63">
        <v>43023</v>
      </c>
      <c r="H590" s="61">
        <v>0.75731666666666664</v>
      </c>
      <c r="I590" s="55">
        <v>30</v>
      </c>
      <c r="J590" s="56" t="s">
        <v>227</v>
      </c>
      <c r="K590" s="75" t="s">
        <v>230</v>
      </c>
      <c r="L590" s="70">
        <v>0</v>
      </c>
    </row>
    <row r="591" spans="1:12" ht="15" customHeight="1">
      <c r="A591" s="53" t="s">
        <v>218</v>
      </c>
      <c r="B591" s="53" t="s">
        <v>204</v>
      </c>
      <c r="C591" s="54">
        <f t="shared" si="18"/>
        <v>42867.517919999998</v>
      </c>
      <c r="D591" s="54">
        <f t="shared" si="19"/>
        <v>42867.55958666667</v>
      </c>
      <c r="E591" s="63">
        <v>42867</v>
      </c>
      <c r="F591" s="61">
        <v>0.51792000000000005</v>
      </c>
      <c r="G591" s="63">
        <v>42867</v>
      </c>
      <c r="H591" s="61">
        <v>0.55958666666666668</v>
      </c>
      <c r="I591" s="55">
        <v>30</v>
      </c>
      <c r="J591" s="56" t="s">
        <v>229</v>
      </c>
      <c r="K591" s="75" t="s">
        <v>230</v>
      </c>
      <c r="L591" s="70">
        <v>0</v>
      </c>
    </row>
    <row r="592" spans="1:12" ht="15" customHeight="1">
      <c r="A592" s="53" t="s">
        <v>220</v>
      </c>
      <c r="B592" s="53" t="s">
        <v>205</v>
      </c>
      <c r="C592" s="54">
        <f t="shared" si="18"/>
        <v>42908.395530000002</v>
      </c>
      <c r="D592" s="54">
        <f t="shared" si="19"/>
        <v>42908.437196666666</v>
      </c>
      <c r="E592" s="63">
        <v>42908</v>
      </c>
      <c r="F592" s="61">
        <v>0.39552999999999999</v>
      </c>
      <c r="G592" s="63">
        <v>42908</v>
      </c>
      <c r="H592" s="61">
        <v>0.43719666666666668</v>
      </c>
      <c r="I592" s="55">
        <v>30</v>
      </c>
      <c r="J592" s="56" t="s">
        <v>227</v>
      </c>
      <c r="K592" s="75" t="s">
        <v>228</v>
      </c>
      <c r="L592" s="70">
        <v>0</v>
      </c>
    </row>
    <row r="593" spans="1:12" ht="15" customHeight="1">
      <c r="A593" s="53" t="s">
        <v>220</v>
      </c>
      <c r="B593" s="53" t="s">
        <v>206</v>
      </c>
      <c r="C593" s="54">
        <f t="shared" si="18"/>
        <v>42924.723729999998</v>
      </c>
      <c r="D593" s="54">
        <f t="shared" si="19"/>
        <v>42924.765396666669</v>
      </c>
      <c r="E593" s="63">
        <v>42924</v>
      </c>
      <c r="F593" s="61">
        <v>0.72372999999999998</v>
      </c>
      <c r="G593" s="63">
        <v>42924</v>
      </c>
      <c r="H593" s="61">
        <v>0.76539666666666661</v>
      </c>
      <c r="I593" s="55">
        <v>30</v>
      </c>
      <c r="J593" s="56" t="s">
        <v>227</v>
      </c>
      <c r="K593" s="75" t="s">
        <v>230</v>
      </c>
      <c r="L593" s="70">
        <v>0</v>
      </c>
    </row>
    <row r="594" spans="1:12" ht="15" customHeight="1">
      <c r="A594" s="53" t="s">
        <v>217</v>
      </c>
      <c r="B594" s="53" t="s">
        <v>207</v>
      </c>
      <c r="C594" s="54">
        <f t="shared" si="18"/>
        <v>42828.543830000002</v>
      </c>
      <c r="D594" s="54">
        <f t="shared" si="19"/>
        <v>42828.585496666667</v>
      </c>
      <c r="E594" s="63">
        <v>42828</v>
      </c>
      <c r="F594" s="61">
        <v>0.54383000000000004</v>
      </c>
      <c r="G594" s="63">
        <v>42828</v>
      </c>
      <c r="H594" s="61">
        <v>0.58549666666666667</v>
      </c>
      <c r="I594" s="55">
        <v>30</v>
      </c>
      <c r="J594" s="56" t="s">
        <v>232</v>
      </c>
      <c r="K594" s="75" t="s">
        <v>231</v>
      </c>
      <c r="L594" s="70">
        <v>0</v>
      </c>
    </row>
    <row r="595" spans="1:12" ht="15" customHeight="1">
      <c r="A595" s="53" t="s">
        <v>218</v>
      </c>
      <c r="B595" s="53" t="s">
        <v>208</v>
      </c>
      <c r="C595" s="54">
        <f t="shared" si="18"/>
        <v>42838.34895</v>
      </c>
      <c r="D595" s="54">
        <f t="shared" si="19"/>
        <v>42838.390616666664</v>
      </c>
      <c r="E595" s="63">
        <v>42838</v>
      </c>
      <c r="F595" s="61">
        <v>0.34894999999999998</v>
      </c>
      <c r="G595" s="63">
        <v>42838</v>
      </c>
      <c r="H595" s="61">
        <v>0.39061666666666667</v>
      </c>
      <c r="I595" s="55">
        <v>30</v>
      </c>
      <c r="J595" s="56" t="s">
        <v>232</v>
      </c>
      <c r="K595" s="75" t="s">
        <v>231</v>
      </c>
      <c r="L595" s="70">
        <v>0</v>
      </c>
    </row>
    <row r="596" spans="1:12" ht="15" customHeight="1">
      <c r="A596" s="53" t="s">
        <v>217</v>
      </c>
      <c r="B596" s="53" t="s">
        <v>209</v>
      </c>
      <c r="C596" s="54">
        <f t="shared" si="18"/>
        <v>42941.650699999998</v>
      </c>
      <c r="D596" s="54">
        <f t="shared" si="19"/>
        <v>42941.69236666667</v>
      </c>
      <c r="E596" s="63">
        <v>42941</v>
      </c>
      <c r="F596" s="61">
        <v>0.65069999999999995</v>
      </c>
      <c r="G596" s="63">
        <v>42941</v>
      </c>
      <c r="H596" s="61">
        <v>0.69236666666666657</v>
      </c>
      <c r="I596" s="55">
        <v>30</v>
      </c>
      <c r="J596" s="56" t="s">
        <v>232</v>
      </c>
      <c r="K596" s="75" t="s">
        <v>228</v>
      </c>
      <c r="L596" s="70">
        <v>0</v>
      </c>
    </row>
    <row r="597" spans="1:12" ht="15" customHeight="1">
      <c r="A597" s="53" t="s">
        <v>218</v>
      </c>
      <c r="B597" s="53" t="s">
        <v>210</v>
      </c>
      <c r="C597" s="54">
        <f t="shared" si="18"/>
        <v>43095.392959999997</v>
      </c>
      <c r="D597" s="54">
        <f t="shared" si="19"/>
        <v>43095.434626666669</v>
      </c>
      <c r="E597" s="63">
        <v>43095</v>
      </c>
      <c r="F597" s="61">
        <v>0.39295999999999998</v>
      </c>
      <c r="G597" s="63">
        <v>43095</v>
      </c>
      <c r="H597" s="61">
        <v>0.43462666666666666</v>
      </c>
      <c r="I597" s="55">
        <v>30</v>
      </c>
      <c r="J597" s="56" t="s">
        <v>232</v>
      </c>
      <c r="K597" s="75" t="s">
        <v>230</v>
      </c>
      <c r="L597" s="70">
        <v>0</v>
      </c>
    </row>
    <row r="598" spans="1:12" ht="15" customHeight="1">
      <c r="A598" s="53" t="s">
        <v>218</v>
      </c>
      <c r="B598" s="53" t="s">
        <v>211</v>
      </c>
      <c r="C598" s="54">
        <f t="shared" si="18"/>
        <v>42998.704120000002</v>
      </c>
      <c r="D598" s="54">
        <f t="shared" si="19"/>
        <v>42998.745786666666</v>
      </c>
      <c r="E598" s="63">
        <v>42998</v>
      </c>
      <c r="F598" s="61">
        <v>0.70411999999999997</v>
      </c>
      <c r="G598" s="63">
        <v>42998</v>
      </c>
      <c r="H598" s="61">
        <v>0.7457866666666666</v>
      </c>
      <c r="I598" s="55">
        <v>30</v>
      </c>
      <c r="J598" s="56" t="s">
        <v>229</v>
      </c>
      <c r="K598" s="75" t="s">
        <v>230</v>
      </c>
      <c r="L598" s="70">
        <v>0</v>
      </c>
    </row>
    <row r="599" spans="1:12" ht="15" customHeight="1">
      <c r="A599" s="53" t="s">
        <v>216</v>
      </c>
      <c r="B599" s="53" t="s">
        <v>212</v>
      </c>
      <c r="C599" s="54">
        <f t="shared" si="18"/>
        <v>42859.633809999999</v>
      </c>
      <c r="D599" s="54">
        <f t="shared" si="19"/>
        <v>42859.675476666664</v>
      </c>
      <c r="E599" s="63">
        <v>42859</v>
      </c>
      <c r="F599" s="61">
        <v>0.63380999999999998</v>
      </c>
      <c r="G599" s="63">
        <v>42859</v>
      </c>
      <c r="H599" s="61">
        <v>0.67547666666666661</v>
      </c>
      <c r="I599" s="55">
        <v>30</v>
      </c>
      <c r="J599" s="56" t="s">
        <v>229</v>
      </c>
      <c r="K599" s="75" t="s">
        <v>228</v>
      </c>
      <c r="L599" s="70">
        <v>0</v>
      </c>
    </row>
    <row r="600" spans="1:12" ht="15" customHeight="1">
      <c r="A600" s="53" t="s">
        <v>216</v>
      </c>
      <c r="B600" s="53" t="s">
        <v>213</v>
      </c>
      <c r="C600" s="54">
        <f t="shared" si="18"/>
        <v>42856.49785</v>
      </c>
      <c r="D600" s="54">
        <f t="shared" si="19"/>
        <v>42856.539516666664</v>
      </c>
      <c r="E600" s="63">
        <v>42856</v>
      </c>
      <c r="F600" s="61">
        <v>0.49785000000000001</v>
      </c>
      <c r="G600" s="63">
        <v>42856</v>
      </c>
      <c r="H600" s="61">
        <v>0.53951666666666664</v>
      </c>
      <c r="I600" s="55">
        <v>30</v>
      </c>
      <c r="J600" s="56" t="s">
        <v>229</v>
      </c>
      <c r="K600" s="75" t="s">
        <v>231</v>
      </c>
      <c r="L600" s="70">
        <v>0</v>
      </c>
    </row>
    <row r="601" spans="1:12" ht="15" customHeight="1">
      <c r="A601" s="53" t="s">
        <v>218</v>
      </c>
      <c r="B601" s="53" t="s">
        <v>214</v>
      </c>
      <c r="C601" s="54">
        <f t="shared" si="18"/>
        <v>43101.73115</v>
      </c>
      <c r="D601" s="54">
        <f t="shared" si="19"/>
        <v>43101.772816666664</v>
      </c>
      <c r="E601" s="63">
        <v>43101</v>
      </c>
      <c r="F601" s="61">
        <v>0.73114999999999997</v>
      </c>
      <c r="G601" s="63">
        <v>43101</v>
      </c>
      <c r="H601" s="61">
        <v>0.7728166666666666</v>
      </c>
      <c r="I601" s="55">
        <v>30</v>
      </c>
      <c r="J601" s="56" t="s">
        <v>227</v>
      </c>
      <c r="K601" s="75" t="s">
        <v>230</v>
      </c>
      <c r="L601" s="70">
        <v>0</v>
      </c>
    </row>
    <row r="602" spans="1:12" ht="15" customHeight="1">
      <c r="A602" s="53" t="s">
        <v>216</v>
      </c>
      <c r="B602" s="53" t="s">
        <v>15</v>
      </c>
      <c r="C602" s="54">
        <f t="shared" si="18"/>
        <v>42842.315199999997</v>
      </c>
      <c r="D602" s="54">
        <f t="shared" si="19"/>
        <v>42842.356866666669</v>
      </c>
      <c r="E602" s="63">
        <v>42842</v>
      </c>
      <c r="F602" s="61">
        <v>0.31519999999999998</v>
      </c>
      <c r="G602" s="63">
        <v>42842</v>
      </c>
      <c r="H602" s="61">
        <v>0.35686666666666667</v>
      </c>
      <c r="I602" s="55">
        <v>30</v>
      </c>
      <c r="J602" s="56" t="s">
        <v>232</v>
      </c>
      <c r="K602" s="75" t="s">
        <v>231</v>
      </c>
      <c r="L602" s="70">
        <v>0</v>
      </c>
    </row>
    <row r="603" spans="1:12" ht="15" customHeight="1">
      <c r="A603" s="53" t="s">
        <v>220</v>
      </c>
      <c r="B603" s="53" t="s">
        <v>16</v>
      </c>
      <c r="C603" s="54">
        <f t="shared" si="18"/>
        <v>43033.758199999997</v>
      </c>
      <c r="D603" s="54">
        <f t="shared" si="19"/>
        <v>43033.799866666668</v>
      </c>
      <c r="E603" s="63">
        <v>43033</v>
      </c>
      <c r="F603" s="61">
        <v>0.75819999999999999</v>
      </c>
      <c r="G603" s="63">
        <v>43033</v>
      </c>
      <c r="H603" s="61">
        <v>0.79986666666666661</v>
      </c>
      <c r="I603" s="55">
        <v>30</v>
      </c>
      <c r="J603" s="56" t="s">
        <v>229</v>
      </c>
      <c r="K603" s="75" t="s">
        <v>228</v>
      </c>
      <c r="L603" s="70">
        <v>0</v>
      </c>
    </row>
    <row r="604" spans="1:12" ht="15" customHeight="1">
      <c r="A604" s="53" t="s">
        <v>216</v>
      </c>
      <c r="B604" s="53" t="s">
        <v>17</v>
      </c>
      <c r="C604" s="54">
        <f t="shared" si="18"/>
        <v>42740.492489999997</v>
      </c>
      <c r="D604" s="54">
        <f t="shared" si="19"/>
        <v>42740.534156666668</v>
      </c>
      <c r="E604" s="63">
        <v>42740</v>
      </c>
      <c r="F604" s="61">
        <v>0.49248999999999998</v>
      </c>
      <c r="G604" s="63">
        <v>42740</v>
      </c>
      <c r="H604" s="61">
        <v>0.53415666666666661</v>
      </c>
      <c r="I604" s="55">
        <v>30</v>
      </c>
      <c r="J604" s="56" t="s">
        <v>227</v>
      </c>
      <c r="K604" s="75" t="s">
        <v>231</v>
      </c>
      <c r="L604" s="70">
        <v>0</v>
      </c>
    </row>
    <row r="605" spans="1:12" ht="15" customHeight="1">
      <c r="A605" s="53" t="s">
        <v>218</v>
      </c>
      <c r="B605" s="53" t="s">
        <v>18</v>
      </c>
      <c r="C605" s="54">
        <f t="shared" si="18"/>
        <v>42825.77061</v>
      </c>
      <c r="D605" s="54">
        <f t="shared" si="19"/>
        <v>42825.812276666664</v>
      </c>
      <c r="E605" s="63">
        <v>42825</v>
      </c>
      <c r="F605" s="61">
        <v>0.77061000000000002</v>
      </c>
      <c r="G605" s="63">
        <v>42825</v>
      </c>
      <c r="H605" s="61">
        <v>0.81227666666666665</v>
      </c>
      <c r="I605" s="55">
        <v>30</v>
      </c>
      <c r="J605" s="56" t="s">
        <v>229</v>
      </c>
      <c r="K605" s="75" t="s">
        <v>231</v>
      </c>
      <c r="L605" s="70">
        <v>0</v>
      </c>
    </row>
    <row r="606" spans="1:12" ht="15" customHeight="1">
      <c r="A606" s="53" t="s">
        <v>220</v>
      </c>
      <c r="B606" s="53" t="s">
        <v>19</v>
      </c>
      <c r="C606" s="54">
        <f t="shared" si="18"/>
        <v>42948.675159999999</v>
      </c>
      <c r="D606" s="54">
        <f t="shared" si="19"/>
        <v>42948.716826666663</v>
      </c>
      <c r="E606" s="63">
        <v>42948</v>
      </c>
      <c r="F606" s="61">
        <v>0.67515999999999998</v>
      </c>
      <c r="G606" s="63">
        <v>42948</v>
      </c>
      <c r="H606" s="61">
        <v>0.71682666666666661</v>
      </c>
      <c r="I606" s="55">
        <v>30</v>
      </c>
      <c r="J606" s="56" t="s">
        <v>227</v>
      </c>
      <c r="K606" s="75" t="s">
        <v>228</v>
      </c>
      <c r="L606" s="70">
        <v>0</v>
      </c>
    </row>
    <row r="607" spans="1:12" ht="15" customHeight="1">
      <c r="A607" s="53" t="s">
        <v>220</v>
      </c>
      <c r="B607" s="53" t="s">
        <v>20</v>
      </c>
      <c r="C607" s="54">
        <f t="shared" si="18"/>
        <v>43026.574509999999</v>
      </c>
      <c r="D607" s="54">
        <f t="shared" si="19"/>
        <v>43026.61617666667</v>
      </c>
      <c r="E607" s="63">
        <v>43026</v>
      </c>
      <c r="F607" s="61">
        <v>0.57450999999999997</v>
      </c>
      <c r="G607" s="63">
        <v>43026</v>
      </c>
      <c r="H607" s="61">
        <v>0.61617666666666659</v>
      </c>
      <c r="I607" s="55">
        <v>30</v>
      </c>
      <c r="J607" s="56" t="s">
        <v>232</v>
      </c>
      <c r="K607" s="75" t="s">
        <v>231</v>
      </c>
      <c r="L607" s="70">
        <v>0</v>
      </c>
    </row>
    <row r="608" spans="1:12" ht="15" customHeight="1">
      <c r="A608" s="53" t="s">
        <v>218</v>
      </c>
      <c r="B608" s="53" t="s">
        <v>21</v>
      </c>
      <c r="C608" s="54">
        <f t="shared" si="18"/>
        <v>42986.766640000002</v>
      </c>
      <c r="D608" s="54">
        <f t="shared" si="19"/>
        <v>42986.808306666666</v>
      </c>
      <c r="E608" s="63">
        <v>42986</v>
      </c>
      <c r="F608" s="61">
        <v>0.76663999999999999</v>
      </c>
      <c r="G608" s="63">
        <v>42986</v>
      </c>
      <c r="H608" s="61">
        <v>0.80830666666666662</v>
      </c>
      <c r="I608" s="55">
        <v>30</v>
      </c>
      <c r="J608" s="56" t="s">
        <v>229</v>
      </c>
      <c r="K608" s="75" t="s">
        <v>231</v>
      </c>
      <c r="L608" s="70">
        <v>0</v>
      </c>
    </row>
    <row r="609" spans="1:12" ht="15" customHeight="1">
      <c r="A609" s="53" t="s">
        <v>216</v>
      </c>
      <c r="B609" s="53" t="s">
        <v>22</v>
      </c>
      <c r="C609" s="54">
        <f t="shared" si="18"/>
        <v>43022.406869999999</v>
      </c>
      <c r="D609" s="54">
        <f t="shared" si="19"/>
        <v>43022.448536666663</v>
      </c>
      <c r="E609" s="63">
        <v>43022</v>
      </c>
      <c r="F609" s="61">
        <v>0.40687000000000001</v>
      </c>
      <c r="G609" s="63">
        <v>43022</v>
      </c>
      <c r="H609" s="61">
        <v>0.44853666666666669</v>
      </c>
      <c r="I609" s="55">
        <v>30</v>
      </c>
      <c r="J609" s="56" t="s">
        <v>229</v>
      </c>
      <c r="K609" s="75" t="s">
        <v>230</v>
      </c>
      <c r="L609" s="70">
        <v>0</v>
      </c>
    </row>
    <row r="610" spans="1:12" ht="15" customHeight="1">
      <c r="A610" s="53" t="s">
        <v>216</v>
      </c>
      <c r="B610" s="53" t="s">
        <v>23</v>
      </c>
      <c r="C610" s="54">
        <f t="shared" si="18"/>
        <v>42963.383159999998</v>
      </c>
      <c r="D610" s="54">
        <f t="shared" si="19"/>
        <v>42963.424826666669</v>
      </c>
      <c r="E610" s="63">
        <v>42963</v>
      </c>
      <c r="F610" s="61">
        <v>0.38316</v>
      </c>
      <c r="G610" s="63">
        <v>42963</v>
      </c>
      <c r="H610" s="61">
        <v>0.42482666666666669</v>
      </c>
      <c r="I610" s="55">
        <v>30</v>
      </c>
      <c r="J610" s="56" t="s">
        <v>229</v>
      </c>
      <c r="K610" s="75" t="s">
        <v>230</v>
      </c>
      <c r="L610" s="70">
        <v>0</v>
      </c>
    </row>
    <row r="611" spans="1:12" ht="15" customHeight="1">
      <c r="A611" s="53" t="s">
        <v>216</v>
      </c>
      <c r="B611" s="53" t="s">
        <v>24</v>
      </c>
      <c r="C611" s="54">
        <f t="shared" si="18"/>
        <v>42758.416210000003</v>
      </c>
      <c r="D611" s="54">
        <f t="shared" si="19"/>
        <v>42758.457876666667</v>
      </c>
      <c r="E611" s="63">
        <v>42758</v>
      </c>
      <c r="F611" s="61">
        <v>0.41621000000000002</v>
      </c>
      <c r="G611" s="63">
        <v>42758</v>
      </c>
      <c r="H611" s="61">
        <v>0.45787666666666671</v>
      </c>
      <c r="I611" s="55">
        <v>30</v>
      </c>
      <c r="J611" s="56" t="s">
        <v>229</v>
      </c>
      <c r="K611" s="75" t="s">
        <v>231</v>
      </c>
      <c r="L611" s="70">
        <v>0</v>
      </c>
    </row>
    <row r="612" spans="1:12" ht="15" customHeight="1">
      <c r="A612" s="53" t="s">
        <v>219</v>
      </c>
      <c r="B612" s="53" t="s">
        <v>25</v>
      </c>
      <c r="C612" s="54">
        <f t="shared" si="18"/>
        <v>42891.552510000001</v>
      </c>
      <c r="D612" s="54">
        <f t="shared" si="19"/>
        <v>42891.594176666666</v>
      </c>
      <c r="E612" s="63">
        <v>42891</v>
      </c>
      <c r="F612" s="61">
        <v>0.55250999999999995</v>
      </c>
      <c r="G612" s="63">
        <v>42891</v>
      </c>
      <c r="H612" s="61">
        <v>0.59417666666666658</v>
      </c>
      <c r="I612" s="55">
        <v>30</v>
      </c>
      <c r="J612" s="56" t="s">
        <v>229</v>
      </c>
      <c r="K612" s="75" t="s">
        <v>231</v>
      </c>
      <c r="L612" s="70">
        <v>0</v>
      </c>
    </row>
    <row r="613" spans="1:12" ht="15" customHeight="1">
      <c r="A613" s="53" t="s">
        <v>219</v>
      </c>
      <c r="B613" s="53" t="s">
        <v>26</v>
      </c>
      <c r="C613" s="54">
        <f t="shared" si="18"/>
        <v>42874.555990000001</v>
      </c>
      <c r="D613" s="54">
        <f t="shared" si="19"/>
        <v>42874.597656666665</v>
      </c>
      <c r="E613" s="63">
        <v>42874</v>
      </c>
      <c r="F613" s="61">
        <v>0.55598999999999998</v>
      </c>
      <c r="G613" s="63">
        <v>42874</v>
      </c>
      <c r="H613" s="61">
        <v>0.59765666666666661</v>
      </c>
      <c r="I613" s="55">
        <v>30</v>
      </c>
      <c r="J613" s="56" t="s">
        <v>227</v>
      </c>
      <c r="K613" s="75" t="s">
        <v>228</v>
      </c>
      <c r="L613" s="70">
        <v>0</v>
      </c>
    </row>
    <row r="614" spans="1:12" ht="15" customHeight="1">
      <c r="A614" s="53" t="s">
        <v>218</v>
      </c>
      <c r="B614" s="53" t="s">
        <v>27</v>
      </c>
      <c r="C614" s="54">
        <f t="shared" si="18"/>
        <v>42915.694519999997</v>
      </c>
      <c r="D614" s="54">
        <f t="shared" si="19"/>
        <v>42915.736186666669</v>
      </c>
      <c r="E614" s="63">
        <v>42915</v>
      </c>
      <c r="F614" s="61">
        <v>0.69452000000000003</v>
      </c>
      <c r="G614" s="63">
        <v>42915</v>
      </c>
      <c r="H614" s="61">
        <v>0.73618666666666666</v>
      </c>
      <c r="I614" s="55">
        <v>30</v>
      </c>
      <c r="J614" s="56" t="s">
        <v>232</v>
      </c>
      <c r="K614" s="75" t="s">
        <v>228</v>
      </c>
      <c r="L614" s="70">
        <v>0</v>
      </c>
    </row>
    <row r="615" spans="1:12" ht="15" customHeight="1">
      <c r="A615" s="53" t="s">
        <v>218</v>
      </c>
      <c r="B615" s="53" t="s">
        <v>28</v>
      </c>
      <c r="C615" s="54">
        <f t="shared" si="18"/>
        <v>43030.53974</v>
      </c>
      <c r="D615" s="54">
        <f t="shared" si="19"/>
        <v>43030.581406666664</v>
      </c>
      <c r="E615" s="63">
        <v>43030</v>
      </c>
      <c r="F615" s="61">
        <v>0.53974</v>
      </c>
      <c r="G615" s="63">
        <v>43030</v>
      </c>
      <c r="H615" s="61">
        <v>0.58140666666666663</v>
      </c>
      <c r="I615" s="55">
        <v>30</v>
      </c>
      <c r="J615" s="56" t="s">
        <v>229</v>
      </c>
      <c r="K615" s="75" t="s">
        <v>231</v>
      </c>
      <c r="L615" s="70">
        <v>0</v>
      </c>
    </row>
    <row r="616" spans="1:12" ht="15" customHeight="1">
      <c r="A616" s="53" t="s">
        <v>217</v>
      </c>
      <c r="B616" s="53" t="s">
        <v>29</v>
      </c>
      <c r="C616" s="54">
        <f t="shared" si="18"/>
        <v>42960.37573</v>
      </c>
      <c r="D616" s="54">
        <f t="shared" si="19"/>
        <v>42960.417396666664</v>
      </c>
      <c r="E616" s="63">
        <v>42960</v>
      </c>
      <c r="F616" s="61">
        <v>0.37573000000000001</v>
      </c>
      <c r="G616" s="63">
        <v>42960</v>
      </c>
      <c r="H616" s="61">
        <v>0.41739666666666669</v>
      </c>
      <c r="I616" s="55">
        <v>30</v>
      </c>
      <c r="J616" s="56" t="s">
        <v>229</v>
      </c>
      <c r="K616" s="75" t="s">
        <v>228</v>
      </c>
      <c r="L616" s="70">
        <v>0</v>
      </c>
    </row>
    <row r="617" spans="1:12" ht="15" customHeight="1">
      <c r="A617" s="53" t="s">
        <v>218</v>
      </c>
      <c r="B617" s="53" t="s">
        <v>30</v>
      </c>
      <c r="C617" s="54">
        <f t="shared" si="18"/>
        <v>42964.3367</v>
      </c>
      <c r="D617" s="54">
        <f t="shared" si="19"/>
        <v>42964.378366666664</v>
      </c>
      <c r="E617" s="63">
        <v>42964</v>
      </c>
      <c r="F617" s="61">
        <v>0.3367</v>
      </c>
      <c r="G617" s="63">
        <v>42964</v>
      </c>
      <c r="H617" s="61">
        <v>0.37836666666666668</v>
      </c>
      <c r="I617" s="55">
        <v>30</v>
      </c>
      <c r="J617" s="56" t="s">
        <v>227</v>
      </c>
      <c r="K617" s="75" t="s">
        <v>231</v>
      </c>
      <c r="L617" s="70">
        <v>0</v>
      </c>
    </row>
    <row r="618" spans="1:12" ht="15" customHeight="1">
      <c r="A618" s="53" t="s">
        <v>219</v>
      </c>
      <c r="B618" s="53" t="s">
        <v>31</v>
      </c>
      <c r="C618" s="54">
        <f t="shared" si="18"/>
        <v>42760.754760000003</v>
      </c>
      <c r="D618" s="54">
        <f t="shared" si="19"/>
        <v>42760.796426666668</v>
      </c>
      <c r="E618" s="63">
        <v>42760</v>
      </c>
      <c r="F618" s="61">
        <v>0.75475999999999999</v>
      </c>
      <c r="G618" s="63">
        <v>42760</v>
      </c>
      <c r="H618" s="61">
        <v>0.79642666666666662</v>
      </c>
      <c r="I618" s="55">
        <v>30</v>
      </c>
      <c r="J618" s="56" t="s">
        <v>229</v>
      </c>
      <c r="K618" s="75" t="s">
        <v>228</v>
      </c>
      <c r="L618" s="70">
        <v>0</v>
      </c>
    </row>
    <row r="619" spans="1:12" ht="15" customHeight="1">
      <c r="A619" s="53" t="s">
        <v>217</v>
      </c>
      <c r="B619" s="53" t="s">
        <v>32</v>
      </c>
      <c r="C619" s="54">
        <f t="shared" si="18"/>
        <v>42931.468459999996</v>
      </c>
      <c r="D619" s="54">
        <f t="shared" si="19"/>
        <v>42931.510126666668</v>
      </c>
      <c r="E619" s="63">
        <v>42931</v>
      </c>
      <c r="F619" s="61">
        <v>0.46845999999999999</v>
      </c>
      <c r="G619" s="63">
        <v>42931</v>
      </c>
      <c r="H619" s="61">
        <v>0.51012666666666662</v>
      </c>
      <c r="I619" s="55">
        <v>30</v>
      </c>
      <c r="J619" s="56" t="s">
        <v>227</v>
      </c>
      <c r="K619" s="75" t="s">
        <v>231</v>
      </c>
      <c r="L619" s="70">
        <v>0</v>
      </c>
    </row>
    <row r="620" spans="1:12" ht="15" customHeight="1">
      <c r="A620" s="53" t="s">
        <v>217</v>
      </c>
      <c r="B620" s="53" t="s">
        <v>33</v>
      </c>
      <c r="C620" s="54">
        <f t="shared" si="18"/>
        <v>43045.321819999997</v>
      </c>
      <c r="D620" s="54">
        <f t="shared" si="19"/>
        <v>43045.363486666669</v>
      </c>
      <c r="E620" s="63">
        <v>43045</v>
      </c>
      <c r="F620" s="61">
        <v>0.32181999999999999</v>
      </c>
      <c r="G620" s="63">
        <v>43045</v>
      </c>
      <c r="H620" s="61">
        <v>0.36348666666666668</v>
      </c>
      <c r="I620" s="55">
        <v>30</v>
      </c>
      <c r="J620" s="56" t="s">
        <v>229</v>
      </c>
      <c r="K620" s="75" t="s">
        <v>230</v>
      </c>
      <c r="L620" s="70">
        <v>0</v>
      </c>
    </row>
    <row r="621" spans="1:12" ht="15" customHeight="1">
      <c r="A621" s="53" t="s">
        <v>217</v>
      </c>
      <c r="B621" s="53" t="s">
        <v>34</v>
      </c>
      <c r="C621" s="54">
        <f t="shared" si="18"/>
        <v>42884.413919999999</v>
      </c>
      <c r="D621" s="54">
        <f t="shared" si="19"/>
        <v>42884.455586666663</v>
      </c>
      <c r="E621" s="63">
        <v>42884</v>
      </c>
      <c r="F621" s="61">
        <v>0.41392000000000001</v>
      </c>
      <c r="G621" s="63">
        <v>42884</v>
      </c>
      <c r="H621" s="61">
        <v>0.4555866666666667</v>
      </c>
      <c r="I621" s="55">
        <v>30</v>
      </c>
      <c r="J621" s="56" t="s">
        <v>229</v>
      </c>
      <c r="K621" s="75" t="s">
        <v>228</v>
      </c>
      <c r="L621" s="70">
        <v>0</v>
      </c>
    </row>
    <row r="622" spans="1:12" ht="15" customHeight="1">
      <c r="A622" s="53" t="s">
        <v>219</v>
      </c>
      <c r="B622" s="53" t="s">
        <v>35</v>
      </c>
      <c r="C622" s="54">
        <f t="shared" si="18"/>
        <v>43046.571490000002</v>
      </c>
      <c r="D622" s="54">
        <f t="shared" si="19"/>
        <v>43046.613156666666</v>
      </c>
      <c r="E622" s="63">
        <v>43046</v>
      </c>
      <c r="F622" s="61">
        <v>0.57149000000000005</v>
      </c>
      <c r="G622" s="63">
        <v>43046</v>
      </c>
      <c r="H622" s="61">
        <v>0.61315666666666668</v>
      </c>
      <c r="I622" s="55">
        <v>30</v>
      </c>
      <c r="J622" s="56" t="s">
        <v>227</v>
      </c>
      <c r="K622" s="75" t="s">
        <v>228</v>
      </c>
      <c r="L622" s="70">
        <v>0</v>
      </c>
    </row>
    <row r="623" spans="1:12" ht="15" customHeight="1">
      <c r="A623" s="53" t="s">
        <v>217</v>
      </c>
      <c r="B623" s="53" t="s">
        <v>36</v>
      </c>
      <c r="C623" s="54">
        <f t="shared" si="18"/>
        <v>43028.69152</v>
      </c>
      <c r="D623" s="54">
        <f t="shared" si="19"/>
        <v>43028.733186666665</v>
      </c>
      <c r="E623" s="63">
        <v>43028</v>
      </c>
      <c r="F623" s="61">
        <v>0.69152000000000002</v>
      </c>
      <c r="G623" s="63">
        <v>43028</v>
      </c>
      <c r="H623" s="61">
        <v>0.73318666666666665</v>
      </c>
      <c r="I623" s="55">
        <v>30</v>
      </c>
      <c r="J623" s="56" t="s">
        <v>227</v>
      </c>
      <c r="K623" s="75" t="s">
        <v>230</v>
      </c>
      <c r="L623" s="70">
        <v>0</v>
      </c>
    </row>
    <row r="624" spans="1:12" ht="15" customHeight="1">
      <c r="A624" s="53" t="s">
        <v>217</v>
      </c>
      <c r="B624" s="53" t="s">
        <v>37</v>
      </c>
      <c r="C624" s="54">
        <f t="shared" si="18"/>
        <v>42985.564149999998</v>
      </c>
      <c r="D624" s="54">
        <f t="shared" si="19"/>
        <v>42985.60581666667</v>
      </c>
      <c r="E624" s="63">
        <v>42985</v>
      </c>
      <c r="F624" s="61">
        <v>0.56415000000000004</v>
      </c>
      <c r="G624" s="63">
        <v>42985</v>
      </c>
      <c r="H624" s="61">
        <v>0.60581666666666667</v>
      </c>
      <c r="I624" s="55">
        <v>30</v>
      </c>
      <c r="J624" s="56" t="s">
        <v>229</v>
      </c>
      <c r="K624" s="75" t="s">
        <v>228</v>
      </c>
      <c r="L624" s="70">
        <v>0</v>
      </c>
    </row>
    <row r="625" spans="1:12" ht="15" customHeight="1">
      <c r="A625" s="53" t="s">
        <v>218</v>
      </c>
      <c r="B625" s="53" t="s">
        <v>38</v>
      </c>
      <c r="C625" s="54">
        <f t="shared" si="18"/>
        <v>43007.627919999999</v>
      </c>
      <c r="D625" s="54">
        <f t="shared" si="19"/>
        <v>43007.669586666663</v>
      </c>
      <c r="E625" s="63">
        <v>43007</v>
      </c>
      <c r="F625" s="61">
        <v>0.62792000000000003</v>
      </c>
      <c r="G625" s="63">
        <v>43007</v>
      </c>
      <c r="H625" s="61">
        <v>0.66958666666666666</v>
      </c>
      <c r="I625" s="55">
        <v>30</v>
      </c>
      <c r="J625" s="56" t="s">
        <v>232</v>
      </c>
      <c r="K625" s="75" t="s">
        <v>228</v>
      </c>
      <c r="L625" s="70">
        <v>0</v>
      </c>
    </row>
    <row r="626" spans="1:12" ht="15" customHeight="1">
      <c r="A626" s="53" t="s">
        <v>218</v>
      </c>
      <c r="B626" s="53" t="s">
        <v>39</v>
      </c>
      <c r="C626" s="54">
        <f t="shared" si="18"/>
        <v>42834.425210000001</v>
      </c>
      <c r="D626" s="54">
        <f t="shared" si="19"/>
        <v>42834.466876666665</v>
      </c>
      <c r="E626" s="63">
        <v>42834</v>
      </c>
      <c r="F626" s="61">
        <v>0.42520999999999998</v>
      </c>
      <c r="G626" s="63">
        <v>42834</v>
      </c>
      <c r="H626" s="61">
        <v>0.46687666666666666</v>
      </c>
      <c r="I626" s="55">
        <v>30</v>
      </c>
      <c r="J626" s="56" t="s">
        <v>229</v>
      </c>
      <c r="K626" s="75" t="s">
        <v>230</v>
      </c>
      <c r="L626" s="70">
        <v>0</v>
      </c>
    </row>
    <row r="627" spans="1:12" ht="15" customHeight="1">
      <c r="A627" s="53" t="s">
        <v>219</v>
      </c>
      <c r="B627" s="53" t="s">
        <v>40</v>
      </c>
      <c r="C627" s="54">
        <f t="shared" si="18"/>
        <v>43018.343760000003</v>
      </c>
      <c r="D627" s="54">
        <f t="shared" si="19"/>
        <v>43018.385426666668</v>
      </c>
      <c r="E627" s="63">
        <v>43018</v>
      </c>
      <c r="F627" s="61">
        <v>0.34376000000000001</v>
      </c>
      <c r="G627" s="63">
        <v>43018</v>
      </c>
      <c r="H627" s="61">
        <v>0.3854266666666667</v>
      </c>
      <c r="I627" s="55">
        <v>30</v>
      </c>
      <c r="J627" s="56" t="s">
        <v>229</v>
      </c>
      <c r="K627" s="75" t="s">
        <v>231</v>
      </c>
      <c r="L627" s="70">
        <v>0</v>
      </c>
    </row>
    <row r="628" spans="1:12" ht="15" customHeight="1">
      <c r="A628" s="53" t="s">
        <v>219</v>
      </c>
      <c r="B628" s="53" t="s">
        <v>41</v>
      </c>
      <c r="C628" s="54">
        <f t="shared" si="18"/>
        <v>42853.566749999998</v>
      </c>
      <c r="D628" s="54">
        <f t="shared" si="19"/>
        <v>42853.60841666667</v>
      </c>
      <c r="E628" s="63">
        <v>42853</v>
      </c>
      <c r="F628" s="61">
        <v>0.56674999999999998</v>
      </c>
      <c r="G628" s="63">
        <v>42853</v>
      </c>
      <c r="H628" s="61">
        <v>0.60841666666666661</v>
      </c>
      <c r="I628" s="55">
        <v>30</v>
      </c>
      <c r="J628" s="56" t="s">
        <v>227</v>
      </c>
      <c r="K628" s="75" t="s">
        <v>230</v>
      </c>
      <c r="L628" s="70">
        <v>0</v>
      </c>
    </row>
    <row r="629" spans="1:12" ht="15" customHeight="1">
      <c r="A629" s="53" t="s">
        <v>220</v>
      </c>
      <c r="B629" s="53" t="s">
        <v>42</v>
      </c>
      <c r="C629" s="54">
        <f t="shared" si="18"/>
        <v>42743.565360000001</v>
      </c>
      <c r="D629" s="54">
        <f t="shared" si="19"/>
        <v>42743.607026666665</v>
      </c>
      <c r="E629" s="63">
        <v>42743</v>
      </c>
      <c r="F629" s="61">
        <v>0.56535999999999997</v>
      </c>
      <c r="G629" s="63">
        <v>42743</v>
      </c>
      <c r="H629" s="61">
        <v>0.6070266666666666</v>
      </c>
      <c r="I629" s="55">
        <v>30</v>
      </c>
      <c r="J629" s="56" t="s">
        <v>229</v>
      </c>
      <c r="K629" s="75" t="s">
        <v>230</v>
      </c>
      <c r="L629" s="70">
        <v>0</v>
      </c>
    </row>
    <row r="630" spans="1:12" ht="15" customHeight="1">
      <c r="A630" s="53" t="s">
        <v>218</v>
      </c>
      <c r="B630" s="53" t="s">
        <v>43</v>
      </c>
      <c r="C630" s="54">
        <f t="shared" si="18"/>
        <v>42849.566039999998</v>
      </c>
      <c r="D630" s="54">
        <f t="shared" si="19"/>
        <v>42849.607706666669</v>
      </c>
      <c r="E630" s="63">
        <v>42849</v>
      </c>
      <c r="F630" s="61">
        <v>0.56603999999999999</v>
      </c>
      <c r="G630" s="63">
        <v>42849</v>
      </c>
      <c r="H630" s="61">
        <v>0.60770666666666662</v>
      </c>
      <c r="I630" s="55">
        <v>30</v>
      </c>
      <c r="J630" s="56" t="s">
        <v>229</v>
      </c>
      <c r="K630" s="75" t="s">
        <v>230</v>
      </c>
      <c r="L630" s="70">
        <v>0</v>
      </c>
    </row>
    <row r="631" spans="1:12" ht="15" customHeight="1">
      <c r="A631" s="53" t="s">
        <v>216</v>
      </c>
      <c r="B631" s="53" t="s">
        <v>44</v>
      </c>
      <c r="C631" s="54">
        <f t="shared" si="18"/>
        <v>42827.516150000003</v>
      </c>
      <c r="D631" s="54">
        <f t="shared" si="19"/>
        <v>42827.557816666667</v>
      </c>
      <c r="E631" s="63">
        <v>42827</v>
      </c>
      <c r="F631" s="61">
        <v>0.51615</v>
      </c>
      <c r="G631" s="63">
        <v>42827</v>
      </c>
      <c r="H631" s="61">
        <v>0.55781666666666663</v>
      </c>
      <c r="I631" s="55">
        <v>30</v>
      </c>
      <c r="J631" s="56" t="s">
        <v>232</v>
      </c>
      <c r="K631" s="75" t="s">
        <v>228</v>
      </c>
      <c r="L631" s="70">
        <v>0</v>
      </c>
    </row>
    <row r="632" spans="1:12" ht="15" customHeight="1">
      <c r="A632" s="53" t="s">
        <v>219</v>
      </c>
      <c r="B632" s="53" t="s">
        <v>45</v>
      </c>
      <c r="C632" s="54">
        <f t="shared" si="18"/>
        <v>42941.66085</v>
      </c>
      <c r="D632" s="54">
        <f t="shared" si="19"/>
        <v>42941.702516666664</v>
      </c>
      <c r="E632" s="63">
        <v>42941</v>
      </c>
      <c r="F632" s="61">
        <v>0.66085000000000005</v>
      </c>
      <c r="G632" s="63">
        <v>42941</v>
      </c>
      <c r="H632" s="61">
        <v>0.70251666666666668</v>
      </c>
      <c r="I632" s="55">
        <v>30</v>
      </c>
      <c r="J632" s="56" t="s">
        <v>232</v>
      </c>
      <c r="K632" s="75" t="s">
        <v>230</v>
      </c>
      <c r="L632" s="70">
        <v>0</v>
      </c>
    </row>
    <row r="633" spans="1:12" ht="15" customHeight="1">
      <c r="A633" s="53" t="s">
        <v>218</v>
      </c>
      <c r="B633" s="53" t="s">
        <v>46</v>
      </c>
      <c r="C633" s="54">
        <f t="shared" si="18"/>
        <v>42821.652900000001</v>
      </c>
      <c r="D633" s="54">
        <f t="shared" si="19"/>
        <v>42821.694566666665</v>
      </c>
      <c r="E633" s="63">
        <v>42821</v>
      </c>
      <c r="F633" s="61">
        <v>0.65290000000000004</v>
      </c>
      <c r="G633" s="63">
        <v>42821</v>
      </c>
      <c r="H633" s="61">
        <v>0.69456666666666667</v>
      </c>
      <c r="I633" s="55">
        <v>30</v>
      </c>
      <c r="J633" s="56" t="s">
        <v>232</v>
      </c>
      <c r="K633" s="75" t="s">
        <v>230</v>
      </c>
      <c r="L633" s="70">
        <v>0</v>
      </c>
    </row>
    <row r="634" spans="1:12" ht="15" customHeight="1">
      <c r="A634" s="53" t="s">
        <v>219</v>
      </c>
      <c r="B634" s="53" t="s">
        <v>47</v>
      </c>
      <c r="C634" s="54">
        <f t="shared" si="18"/>
        <v>42788.546069999997</v>
      </c>
      <c r="D634" s="54">
        <f t="shared" si="19"/>
        <v>42788.587736666668</v>
      </c>
      <c r="E634" s="63">
        <v>42788</v>
      </c>
      <c r="F634" s="61">
        <v>0.54607000000000006</v>
      </c>
      <c r="G634" s="63">
        <v>42788</v>
      </c>
      <c r="H634" s="61">
        <v>0.58773666666666669</v>
      </c>
      <c r="I634" s="55">
        <v>30</v>
      </c>
      <c r="J634" s="56" t="s">
        <v>227</v>
      </c>
      <c r="K634" s="75" t="s">
        <v>231</v>
      </c>
      <c r="L634" s="70">
        <v>0</v>
      </c>
    </row>
    <row r="635" spans="1:12" ht="15" customHeight="1">
      <c r="A635" s="53" t="s">
        <v>216</v>
      </c>
      <c r="B635" s="53" t="s">
        <v>48</v>
      </c>
      <c r="C635" s="54">
        <f t="shared" si="18"/>
        <v>42832.48515</v>
      </c>
      <c r="D635" s="54">
        <f t="shared" si="19"/>
        <v>42832.526816666665</v>
      </c>
      <c r="E635" s="63">
        <v>42832</v>
      </c>
      <c r="F635" s="61">
        <v>0.48515000000000003</v>
      </c>
      <c r="G635" s="63">
        <v>42832</v>
      </c>
      <c r="H635" s="61">
        <v>0.52681666666666671</v>
      </c>
      <c r="I635" s="55">
        <v>30</v>
      </c>
      <c r="J635" s="56" t="s">
        <v>229</v>
      </c>
      <c r="K635" s="75" t="s">
        <v>230</v>
      </c>
      <c r="L635" s="70">
        <v>0</v>
      </c>
    </row>
    <row r="636" spans="1:12" ht="15" customHeight="1">
      <c r="A636" s="53" t="s">
        <v>217</v>
      </c>
      <c r="B636" s="53" t="s">
        <v>49</v>
      </c>
      <c r="C636" s="54">
        <f t="shared" si="18"/>
        <v>42877.381820000002</v>
      </c>
      <c r="D636" s="54">
        <f t="shared" si="19"/>
        <v>42877.423486666667</v>
      </c>
      <c r="E636" s="63">
        <v>42877</v>
      </c>
      <c r="F636" s="61">
        <v>0.38181999999999999</v>
      </c>
      <c r="G636" s="63">
        <v>42877</v>
      </c>
      <c r="H636" s="61">
        <v>0.42348666666666668</v>
      </c>
      <c r="I636" s="55">
        <v>30</v>
      </c>
      <c r="J636" s="56" t="s">
        <v>232</v>
      </c>
      <c r="K636" s="75" t="s">
        <v>231</v>
      </c>
      <c r="L636" s="70">
        <v>0</v>
      </c>
    </row>
    <row r="637" spans="1:12" ht="15" customHeight="1">
      <c r="A637" s="53" t="s">
        <v>220</v>
      </c>
      <c r="B637" s="53" t="s">
        <v>50</v>
      </c>
      <c r="C637" s="54">
        <f t="shared" si="18"/>
        <v>42776.385999999999</v>
      </c>
      <c r="D637" s="54">
        <f t="shared" si="19"/>
        <v>42776.42766666667</v>
      </c>
      <c r="E637" s="63">
        <v>42776</v>
      </c>
      <c r="F637" s="61">
        <v>0.38600000000000001</v>
      </c>
      <c r="G637" s="63">
        <v>42776</v>
      </c>
      <c r="H637" s="61">
        <v>0.42766666666666669</v>
      </c>
      <c r="I637" s="55">
        <v>30</v>
      </c>
      <c r="J637" s="56" t="s">
        <v>229</v>
      </c>
      <c r="K637" s="75" t="s">
        <v>231</v>
      </c>
      <c r="L637" s="70">
        <v>0</v>
      </c>
    </row>
    <row r="638" spans="1:12" ht="15" customHeight="1">
      <c r="A638" s="53" t="s">
        <v>218</v>
      </c>
      <c r="B638" s="53" t="s">
        <v>51</v>
      </c>
      <c r="C638" s="54">
        <f t="shared" si="18"/>
        <v>42869.490120000002</v>
      </c>
      <c r="D638" s="54">
        <f t="shared" si="19"/>
        <v>42869.531786666666</v>
      </c>
      <c r="E638" s="63">
        <v>42869</v>
      </c>
      <c r="F638" s="61">
        <v>0.49012</v>
      </c>
      <c r="G638" s="63">
        <v>42869</v>
      </c>
      <c r="H638" s="61">
        <v>0.53178666666666663</v>
      </c>
      <c r="I638" s="55">
        <v>30</v>
      </c>
      <c r="J638" s="56" t="s">
        <v>227</v>
      </c>
      <c r="K638" s="75" t="s">
        <v>230</v>
      </c>
      <c r="L638" s="70">
        <v>0</v>
      </c>
    </row>
    <row r="639" spans="1:12" ht="15" customHeight="1">
      <c r="A639" s="53" t="s">
        <v>217</v>
      </c>
      <c r="B639" s="53" t="s">
        <v>52</v>
      </c>
      <c r="C639" s="54">
        <f t="shared" si="18"/>
        <v>42824.606699999997</v>
      </c>
      <c r="D639" s="54">
        <f t="shared" si="19"/>
        <v>42824.648366666668</v>
      </c>
      <c r="E639" s="63">
        <v>42824</v>
      </c>
      <c r="F639" s="61">
        <v>0.60670000000000002</v>
      </c>
      <c r="G639" s="63">
        <v>42824</v>
      </c>
      <c r="H639" s="61">
        <v>0.64836666666666665</v>
      </c>
      <c r="I639" s="55">
        <v>30</v>
      </c>
      <c r="J639" s="56" t="s">
        <v>227</v>
      </c>
      <c r="K639" s="75" t="s">
        <v>231</v>
      </c>
      <c r="L639" s="70">
        <v>0</v>
      </c>
    </row>
    <row r="640" spans="1:12" ht="15" customHeight="1">
      <c r="A640" s="53" t="s">
        <v>220</v>
      </c>
      <c r="B640" s="53" t="s">
        <v>53</v>
      </c>
      <c r="C640" s="54">
        <f t="shared" si="18"/>
        <v>43076.464070000002</v>
      </c>
      <c r="D640" s="54">
        <f t="shared" si="19"/>
        <v>43076.505736666666</v>
      </c>
      <c r="E640" s="63">
        <v>43076</v>
      </c>
      <c r="F640" s="61">
        <v>0.46406999999999998</v>
      </c>
      <c r="G640" s="63">
        <v>43076</v>
      </c>
      <c r="H640" s="61">
        <v>0.50573666666666661</v>
      </c>
      <c r="I640" s="55">
        <v>30</v>
      </c>
      <c r="J640" s="56" t="s">
        <v>229</v>
      </c>
      <c r="K640" s="75" t="s">
        <v>230</v>
      </c>
      <c r="L640" s="70">
        <v>0</v>
      </c>
    </row>
    <row r="641" spans="1:12" ht="15" customHeight="1">
      <c r="A641" s="53" t="s">
        <v>220</v>
      </c>
      <c r="B641" s="53" t="s">
        <v>54</v>
      </c>
      <c r="C641" s="54">
        <f t="shared" si="18"/>
        <v>42825.526960000003</v>
      </c>
      <c r="D641" s="54">
        <f t="shared" si="19"/>
        <v>42825.568626666667</v>
      </c>
      <c r="E641" s="63">
        <v>42825</v>
      </c>
      <c r="F641" s="61">
        <v>0.52695999999999998</v>
      </c>
      <c r="G641" s="63">
        <v>42825</v>
      </c>
      <c r="H641" s="61">
        <v>0.56862666666666661</v>
      </c>
      <c r="I641" s="55">
        <v>30</v>
      </c>
      <c r="J641" s="56" t="s">
        <v>227</v>
      </c>
      <c r="K641" s="75" t="s">
        <v>228</v>
      </c>
      <c r="L641" s="70">
        <v>0</v>
      </c>
    </row>
    <row r="642" spans="1:12" ht="15" customHeight="1">
      <c r="A642" s="53" t="s">
        <v>218</v>
      </c>
      <c r="B642" s="53" t="s">
        <v>55</v>
      </c>
      <c r="C642" s="54">
        <f t="shared" si="18"/>
        <v>43001.422200000001</v>
      </c>
      <c r="D642" s="54">
        <f t="shared" si="19"/>
        <v>43001.463866666665</v>
      </c>
      <c r="E642" s="63">
        <v>43001</v>
      </c>
      <c r="F642" s="61">
        <v>0.42220000000000002</v>
      </c>
      <c r="G642" s="63">
        <v>43001</v>
      </c>
      <c r="H642" s="61">
        <v>0.4638666666666667</v>
      </c>
      <c r="I642" s="55">
        <v>30</v>
      </c>
      <c r="J642" s="56" t="s">
        <v>232</v>
      </c>
      <c r="K642" s="75" t="s">
        <v>228</v>
      </c>
      <c r="L642" s="70">
        <v>0</v>
      </c>
    </row>
    <row r="643" spans="1:12" ht="15" customHeight="1">
      <c r="A643" s="53" t="s">
        <v>216</v>
      </c>
      <c r="B643" s="53" t="s">
        <v>56</v>
      </c>
      <c r="C643" s="54">
        <f t="shared" ref="C643:C706" si="20">E643+F643</f>
        <v>42828.321190000002</v>
      </c>
      <c r="D643" s="54">
        <f t="shared" ref="D643:D706" si="21">G643+H643</f>
        <v>42828.362856666667</v>
      </c>
      <c r="E643" s="63">
        <v>42828</v>
      </c>
      <c r="F643" s="61">
        <v>0.32118999999999998</v>
      </c>
      <c r="G643" s="63">
        <v>42828</v>
      </c>
      <c r="H643" s="61">
        <v>0.36285666666666666</v>
      </c>
      <c r="I643" s="55">
        <v>30</v>
      </c>
      <c r="J643" s="56" t="s">
        <v>227</v>
      </c>
      <c r="K643" s="75" t="s">
        <v>230</v>
      </c>
      <c r="L643" s="70">
        <v>0</v>
      </c>
    </row>
    <row r="644" spans="1:12" ht="15" customHeight="1">
      <c r="A644" s="53" t="s">
        <v>220</v>
      </c>
      <c r="B644" s="53" t="s">
        <v>57</v>
      </c>
      <c r="C644" s="54">
        <f t="shared" si="20"/>
        <v>42885.660150000003</v>
      </c>
      <c r="D644" s="54">
        <f t="shared" si="21"/>
        <v>42885.701816666668</v>
      </c>
      <c r="E644" s="63">
        <v>42885</v>
      </c>
      <c r="F644" s="61">
        <v>0.66015000000000001</v>
      </c>
      <c r="G644" s="63">
        <v>42885</v>
      </c>
      <c r="H644" s="61">
        <v>0.70181666666666664</v>
      </c>
      <c r="I644" s="55">
        <v>30</v>
      </c>
      <c r="J644" s="56" t="s">
        <v>232</v>
      </c>
      <c r="K644" s="75" t="s">
        <v>230</v>
      </c>
      <c r="L644" s="70">
        <v>0</v>
      </c>
    </row>
    <row r="645" spans="1:12" ht="15" customHeight="1">
      <c r="A645" s="53" t="s">
        <v>218</v>
      </c>
      <c r="B645" s="53" t="s">
        <v>58</v>
      </c>
      <c r="C645" s="54">
        <f t="shared" si="20"/>
        <v>42866.47711</v>
      </c>
      <c r="D645" s="54">
        <f t="shared" si="21"/>
        <v>42866.518776666664</v>
      </c>
      <c r="E645" s="63">
        <v>42866</v>
      </c>
      <c r="F645" s="61">
        <v>0.47710999999999998</v>
      </c>
      <c r="G645" s="63">
        <v>42866</v>
      </c>
      <c r="H645" s="61">
        <v>0.51877666666666666</v>
      </c>
      <c r="I645" s="55">
        <v>30</v>
      </c>
      <c r="J645" s="56" t="s">
        <v>229</v>
      </c>
      <c r="K645" s="75" t="s">
        <v>228</v>
      </c>
      <c r="L645" s="70">
        <v>0</v>
      </c>
    </row>
    <row r="646" spans="1:12" ht="15" customHeight="1">
      <c r="A646" s="53" t="s">
        <v>216</v>
      </c>
      <c r="B646" s="53" t="s">
        <v>59</v>
      </c>
      <c r="C646" s="54">
        <f t="shared" si="20"/>
        <v>42849.405270000003</v>
      </c>
      <c r="D646" s="54">
        <f t="shared" si="21"/>
        <v>42849.446936666667</v>
      </c>
      <c r="E646" s="63">
        <v>42849</v>
      </c>
      <c r="F646" s="61">
        <v>0.40527000000000002</v>
      </c>
      <c r="G646" s="63">
        <v>42849</v>
      </c>
      <c r="H646" s="61">
        <v>0.4469366666666667</v>
      </c>
      <c r="I646" s="55">
        <v>30</v>
      </c>
      <c r="J646" s="56" t="s">
        <v>229</v>
      </c>
      <c r="K646" s="75" t="s">
        <v>228</v>
      </c>
      <c r="L646" s="70">
        <v>0</v>
      </c>
    </row>
    <row r="647" spans="1:12" ht="15" customHeight="1">
      <c r="A647" s="53" t="s">
        <v>216</v>
      </c>
      <c r="B647" s="53" t="s">
        <v>60</v>
      </c>
      <c r="C647" s="54">
        <f t="shared" si="20"/>
        <v>43013.434070000003</v>
      </c>
      <c r="D647" s="54">
        <f t="shared" si="21"/>
        <v>43013.475736666667</v>
      </c>
      <c r="E647" s="63">
        <v>43013</v>
      </c>
      <c r="F647" s="61">
        <v>0.43407000000000001</v>
      </c>
      <c r="G647" s="63">
        <v>43013</v>
      </c>
      <c r="H647" s="61">
        <v>0.4757366666666667</v>
      </c>
      <c r="I647" s="55">
        <v>30</v>
      </c>
      <c r="J647" s="56" t="s">
        <v>229</v>
      </c>
      <c r="K647" s="75" t="s">
        <v>231</v>
      </c>
      <c r="L647" s="70">
        <v>0</v>
      </c>
    </row>
    <row r="648" spans="1:12" ht="15" customHeight="1">
      <c r="A648" s="53" t="s">
        <v>220</v>
      </c>
      <c r="B648" s="53" t="s">
        <v>61</v>
      </c>
      <c r="C648" s="54">
        <f t="shared" si="20"/>
        <v>42833.58354</v>
      </c>
      <c r="D648" s="54">
        <f t="shared" si="21"/>
        <v>42833.625206666664</v>
      </c>
      <c r="E648" s="63">
        <v>42833</v>
      </c>
      <c r="F648" s="61">
        <v>0.58353999999999995</v>
      </c>
      <c r="G648" s="63">
        <v>42833</v>
      </c>
      <c r="H648" s="61">
        <v>0.62520666666666658</v>
      </c>
      <c r="I648" s="55">
        <v>30</v>
      </c>
      <c r="J648" s="56" t="s">
        <v>227</v>
      </c>
      <c r="K648" s="75" t="s">
        <v>228</v>
      </c>
      <c r="L648" s="70">
        <v>0</v>
      </c>
    </row>
    <row r="649" spans="1:12" ht="15" customHeight="1">
      <c r="A649" s="53" t="s">
        <v>216</v>
      </c>
      <c r="B649" s="53" t="s">
        <v>62</v>
      </c>
      <c r="C649" s="54">
        <f t="shared" si="20"/>
        <v>43070.590360000002</v>
      </c>
      <c r="D649" s="54">
        <f t="shared" si="21"/>
        <v>43070.632026666666</v>
      </c>
      <c r="E649" s="63">
        <v>43070</v>
      </c>
      <c r="F649" s="61">
        <v>0.59036</v>
      </c>
      <c r="G649" s="63">
        <v>43070</v>
      </c>
      <c r="H649" s="61">
        <v>0.63202666666666663</v>
      </c>
      <c r="I649" s="55">
        <v>30</v>
      </c>
      <c r="J649" s="56" t="s">
        <v>229</v>
      </c>
      <c r="K649" s="75" t="s">
        <v>230</v>
      </c>
      <c r="L649" s="70">
        <v>0</v>
      </c>
    </row>
    <row r="650" spans="1:12" ht="15" customHeight="1">
      <c r="A650" s="53" t="s">
        <v>216</v>
      </c>
      <c r="B650" s="53" t="s">
        <v>63</v>
      </c>
      <c r="C650" s="54">
        <f t="shared" si="20"/>
        <v>42935.495439999999</v>
      </c>
      <c r="D650" s="54">
        <f t="shared" si="21"/>
        <v>42935.53710666667</v>
      </c>
      <c r="E650" s="63">
        <v>42935</v>
      </c>
      <c r="F650" s="61">
        <v>0.49543999999999999</v>
      </c>
      <c r="G650" s="63">
        <v>42935</v>
      </c>
      <c r="H650" s="61">
        <v>0.53710666666666662</v>
      </c>
      <c r="I650" s="55">
        <v>30</v>
      </c>
      <c r="J650" s="56" t="s">
        <v>229</v>
      </c>
      <c r="K650" s="75" t="s">
        <v>231</v>
      </c>
      <c r="L650" s="70">
        <v>0</v>
      </c>
    </row>
    <row r="651" spans="1:12" ht="15" customHeight="1">
      <c r="A651" s="53" t="s">
        <v>219</v>
      </c>
      <c r="B651" s="53" t="s">
        <v>64</v>
      </c>
      <c r="C651" s="54">
        <f t="shared" si="20"/>
        <v>42900.666169999997</v>
      </c>
      <c r="D651" s="54">
        <f t="shared" si="21"/>
        <v>42900.707836666668</v>
      </c>
      <c r="E651" s="63">
        <v>42900</v>
      </c>
      <c r="F651" s="61">
        <v>0.66617000000000004</v>
      </c>
      <c r="G651" s="63">
        <v>42900</v>
      </c>
      <c r="H651" s="61">
        <v>0.70783666666666667</v>
      </c>
      <c r="I651" s="55">
        <v>30</v>
      </c>
      <c r="J651" s="56" t="s">
        <v>227</v>
      </c>
      <c r="K651" s="75" t="s">
        <v>228</v>
      </c>
      <c r="L651" s="70">
        <v>0</v>
      </c>
    </row>
    <row r="652" spans="1:12" ht="15" customHeight="1">
      <c r="A652" s="53" t="s">
        <v>220</v>
      </c>
      <c r="B652" s="53" t="s">
        <v>65</v>
      </c>
      <c r="C652" s="54">
        <f t="shared" si="20"/>
        <v>42983.415480000003</v>
      </c>
      <c r="D652" s="54">
        <f t="shared" si="21"/>
        <v>42983.457146666668</v>
      </c>
      <c r="E652" s="63">
        <v>42983</v>
      </c>
      <c r="F652" s="61">
        <v>0.41548000000000002</v>
      </c>
      <c r="G652" s="63">
        <v>42983</v>
      </c>
      <c r="H652" s="61">
        <v>0.4571466666666667</v>
      </c>
      <c r="I652" s="55">
        <v>30</v>
      </c>
      <c r="J652" s="56" t="s">
        <v>227</v>
      </c>
      <c r="K652" s="75" t="s">
        <v>230</v>
      </c>
      <c r="L652" s="70">
        <v>0</v>
      </c>
    </row>
    <row r="653" spans="1:12" ht="15" customHeight="1">
      <c r="A653" s="53" t="s">
        <v>218</v>
      </c>
      <c r="B653" s="53" t="s">
        <v>66</v>
      </c>
      <c r="C653" s="54">
        <f t="shared" si="20"/>
        <v>42742.591659999998</v>
      </c>
      <c r="D653" s="54">
        <f t="shared" si="21"/>
        <v>42742.63332666667</v>
      </c>
      <c r="E653" s="63">
        <v>42742</v>
      </c>
      <c r="F653" s="61">
        <v>0.59165999999999996</v>
      </c>
      <c r="G653" s="63">
        <v>42742</v>
      </c>
      <c r="H653" s="61">
        <v>0.63332666666666659</v>
      </c>
      <c r="I653" s="55">
        <v>30</v>
      </c>
      <c r="J653" s="56" t="s">
        <v>232</v>
      </c>
      <c r="K653" s="75" t="s">
        <v>231</v>
      </c>
      <c r="L653" s="70">
        <v>0</v>
      </c>
    </row>
    <row r="654" spans="1:12" ht="15" customHeight="1">
      <c r="A654" s="53" t="s">
        <v>220</v>
      </c>
      <c r="B654" s="53" t="s">
        <v>67</v>
      </c>
      <c r="C654" s="54">
        <f t="shared" si="20"/>
        <v>42809.582549999999</v>
      </c>
      <c r="D654" s="54">
        <f t="shared" si="21"/>
        <v>42809.624216666663</v>
      </c>
      <c r="E654" s="63">
        <v>42809</v>
      </c>
      <c r="F654" s="61">
        <v>0.58255000000000001</v>
      </c>
      <c r="G654" s="63">
        <v>42809</v>
      </c>
      <c r="H654" s="61">
        <v>0.62421666666666664</v>
      </c>
      <c r="I654" s="55">
        <v>30</v>
      </c>
      <c r="J654" s="56" t="s">
        <v>229</v>
      </c>
      <c r="K654" s="75" t="s">
        <v>231</v>
      </c>
      <c r="L654" s="70">
        <v>0</v>
      </c>
    </row>
    <row r="655" spans="1:12" ht="15" customHeight="1">
      <c r="A655" s="53" t="s">
        <v>218</v>
      </c>
      <c r="B655" s="53" t="s">
        <v>68</v>
      </c>
      <c r="C655" s="54">
        <f t="shared" si="20"/>
        <v>43040.455869999998</v>
      </c>
      <c r="D655" s="54">
        <f t="shared" si="21"/>
        <v>43040.497536666669</v>
      </c>
      <c r="E655" s="63">
        <v>43040</v>
      </c>
      <c r="F655" s="61">
        <v>0.45587</v>
      </c>
      <c r="G655" s="63">
        <v>43040</v>
      </c>
      <c r="H655" s="61">
        <v>0.49753666666666668</v>
      </c>
      <c r="I655" s="55">
        <v>30</v>
      </c>
      <c r="J655" s="56" t="s">
        <v>229</v>
      </c>
      <c r="K655" s="75" t="s">
        <v>228</v>
      </c>
      <c r="L655" s="70">
        <v>0</v>
      </c>
    </row>
    <row r="656" spans="1:12" ht="15" customHeight="1">
      <c r="A656" s="53" t="s">
        <v>218</v>
      </c>
      <c r="B656" s="53" t="s">
        <v>69</v>
      </c>
      <c r="C656" s="54">
        <f t="shared" si="20"/>
        <v>42985.337140000003</v>
      </c>
      <c r="D656" s="54">
        <f t="shared" si="21"/>
        <v>42985.378806666668</v>
      </c>
      <c r="E656" s="63">
        <v>42985</v>
      </c>
      <c r="F656" s="61">
        <v>0.33714</v>
      </c>
      <c r="G656" s="63">
        <v>42985</v>
      </c>
      <c r="H656" s="61">
        <v>0.37880666666666668</v>
      </c>
      <c r="I656" s="55">
        <v>30</v>
      </c>
      <c r="J656" s="56" t="s">
        <v>232</v>
      </c>
      <c r="K656" s="75" t="s">
        <v>230</v>
      </c>
      <c r="L656" s="70">
        <v>0</v>
      </c>
    </row>
    <row r="657" spans="1:12" ht="15" customHeight="1">
      <c r="A657" s="53" t="s">
        <v>218</v>
      </c>
      <c r="B657" s="53" t="s">
        <v>70</v>
      </c>
      <c r="C657" s="54">
        <f t="shared" si="20"/>
        <v>43059.63695</v>
      </c>
      <c r="D657" s="54">
        <f t="shared" si="21"/>
        <v>43059.678616666664</v>
      </c>
      <c r="E657" s="63">
        <v>43059</v>
      </c>
      <c r="F657" s="61">
        <v>0.63695000000000002</v>
      </c>
      <c r="G657" s="63">
        <v>43059</v>
      </c>
      <c r="H657" s="61">
        <v>0.67861666666666665</v>
      </c>
      <c r="I657" s="55">
        <v>30</v>
      </c>
      <c r="J657" s="56" t="s">
        <v>227</v>
      </c>
      <c r="K657" s="75" t="s">
        <v>230</v>
      </c>
      <c r="L657" s="70">
        <v>0</v>
      </c>
    </row>
    <row r="658" spans="1:12" ht="15" customHeight="1">
      <c r="A658" s="53" t="s">
        <v>217</v>
      </c>
      <c r="B658" s="53" t="s">
        <v>71</v>
      </c>
      <c r="C658" s="54">
        <f t="shared" si="20"/>
        <v>42781.69569</v>
      </c>
      <c r="D658" s="54">
        <f t="shared" si="21"/>
        <v>42781.737356666665</v>
      </c>
      <c r="E658" s="63">
        <v>42781</v>
      </c>
      <c r="F658" s="61">
        <v>0.69569000000000003</v>
      </c>
      <c r="G658" s="63">
        <v>42781</v>
      </c>
      <c r="H658" s="61">
        <v>0.73735666666666666</v>
      </c>
      <c r="I658" s="55">
        <v>30</v>
      </c>
      <c r="J658" s="56" t="s">
        <v>227</v>
      </c>
      <c r="K658" s="75" t="s">
        <v>231</v>
      </c>
      <c r="L658" s="70">
        <v>0</v>
      </c>
    </row>
    <row r="659" spans="1:12" ht="15" customHeight="1">
      <c r="A659" s="53" t="s">
        <v>217</v>
      </c>
      <c r="B659" s="53" t="s">
        <v>72</v>
      </c>
      <c r="C659" s="54">
        <f t="shared" si="20"/>
        <v>43053.451780000003</v>
      </c>
      <c r="D659" s="54">
        <f t="shared" si="21"/>
        <v>43053.493446666667</v>
      </c>
      <c r="E659" s="63">
        <v>43053</v>
      </c>
      <c r="F659" s="61">
        <v>0.45178000000000001</v>
      </c>
      <c r="G659" s="63">
        <v>43053</v>
      </c>
      <c r="H659" s="61">
        <v>0.4934466666666667</v>
      </c>
      <c r="I659" s="55">
        <v>30</v>
      </c>
      <c r="J659" s="56" t="s">
        <v>227</v>
      </c>
      <c r="K659" s="75" t="s">
        <v>228</v>
      </c>
      <c r="L659" s="70">
        <v>0</v>
      </c>
    </row>
    <row r="660" spans="1:12" ht="15" customHeight="1">
      <c r="A660" s="53" t="s">
        <v>219</v>
      </c>
      <c r="B660" s="53" t="s">
        <v>73</v>
      </c>
      <c r="C660" s="54">
        <f t="shared" si="20"/>
        <v>42752.61419</v>
      </c>
      <c r="D660" s="54">
        <f t="shared" si="21"/>
        <v>42752.655856666664</v>
      </c>
      <c r="E660" s="63">
        <v>42752</v>
      </c>
      <c r="F660" s="61">
        <v>0.61419000000000001</v>
      </c>
      <c r="G660" s="63">
        <v>42752</v>
      </c>
      <c r="H660" s="61">
        <v>0.65585666666666664</v>
      </c>
      <c r="I660" s="55">
        <v>30</v>
      </c>
      <c r="J660" s="56" t="s">
        <v>229</v>
      </c>
      <c r="K660" s="75" t="s">
        <v>231</v>
      </c>
      <c r="L660" s="70">
        <v>0</v>
      </c>
    </row>
    <row r="661" spans="1:12" ht="15" customHeight="1">
      <c r="A661" s="53" t="s">
        <v>216</v>
      </c>
      <c r="B661" s="53" t="s">
        <v>74</v>
      </c>
      <c r="C661" s="54">
        <f t="shared" si="20"/>
        <v>43033.704619999997</v>
      </c>
      <c r="D661" s="54">
        <f t="shared" si="21"/>
        <v>43033.746286666668</v>
      </c>
      <c r="E661" s="63">
        <v>43033</v>
      </c>
      <c r="F661" s="61">
        <v>0.70462000000000002</v>
      </c>
      <c r="G661" s="63">
        <v>43033</v>
      </c>
      <c r="H661" s="61">
        <v>0.74628666666666665</v>
      </c>
      <c r="I661" s="55">
        <v>30</v>
      </c>
      <c r="J661" s="56" t="s">
        <v>229</v>
      </c>
      <c r="K661" s="75" t="s">
        <v>230</v>
      </c>
      <c r="L661" s="70">
        <v>0</v>
      </c>
    </row>
    <row r="662" spans="1:12" ht="15" customHeight="1">
      <c r="A662" s="53" t="s">
        <v>220</v>
      </c>
      <c r="B662" s="53" t="s">
        <v>75</v>
      </c>
      <c r="C662" s="54">
        <f t="shared" si="20"/>
        <v>42755.353260000004</v>
      </c>
      <c r="D662" s="54">
        <f t="shared" si="21"/>
        <v>42755.394926666668</v>
      </c>
      <c r="E662" s="63">
        <v>42755</v>
      </c>
      <c r="F662" s="61">
        <v>0.35326000000000002</v>
      </c>
      <c r="G662" s="63">
        <v>42755</v>
      </c>
      <c r="H662" s="61">
        <v>0.3949266666666667</v>
      </c>
      <c r="I662" s="55">
        <v>30</v>
      </c>
      <c r="J662" s="56" t="s">
        <v>229</v>
      </c>
      <c r="K662" s="75" t="s">
        <v>230</v>
      </c>
      <c r="L662" s="70">
        <v>0</v>
      </c>
    </row>
    <row r="663" spans="1:12" ht="15" customHeight="1">
      <c r="A663" s="53" t="s">
        <v>217</v>
      </c>
      <c r="B663" s="53" t="s">
        <v>76</v>
      </c>
      <c r="C663" s="54">
        <f t="shared" si="20"/>
        <v>42869.588389999997</v>
      </c>
      <c r="D663" s="54">
        <f t="shared" si="21"/>
        <v>42869.630056666669</v>
      </c>
      <c r="E663" s="63">
        <v>42869</v>
      </c>
      <c r="F663" s="61">
        <v>0.58838999999999997</v>
      </c>
      <c r="G663" s="63">
        <v>42869</v>
      </c>
      <c r="H663" s="61">
        <v>0.6300566666666666</v>
      </c>
      <c r="I663" s="55">
        <v>30</v>
      </c>
      <c r="J663" s="56" t="s">
        <v>229</v>
      </c>
      <c r="K663" s="75" t="s">
        <v>230</v>
      </c>
      <c r="L663" s="70">
        <v>0</v>
      </c>
    </row>
    <row r="664" spans="1:12" ht="15" customHeight="1">
      <c r="A664" s="53" t="s">
        <v>217</v>
      </c>
      <c r="B664" s="53" t="s">
        <v>77</v>
      </c>
      <c r="C664" s="54">
        <f t="shared" si="20"/>
        <v>42918.448709999997</v>
      </c>
      <c r="D664" s="54">
        <f t="shared" si="21"/>
        <v>42918.490376666668</v>
      </c>
      <c r="E664" s="63">
        <v>42918</v>
      </c>
      <c r="F664" s="61">
        <v>0.44871</v>
      </c>
      <c r="G664" s="63">
        <v>42918</v>
      </c>
      <c r="H664" s="61">
        <v>0.49037666666666668</v>
      </c>
      <c r="I664" s="55">
        <v>30</v>
      </c>
      <c r="J664" s="56" t="s">
        <v>229</v>
      </c>
      <c r="K664" s="75" t="s">
        <v>231</v>
      </c>
      <c r="L664" s="70">
        <v>0</v>
      </c>
    </row>
    <row r="665" spans="1:12" ht="15" customHeight="1">
      <c r="A665" s="53" t="s">
        <v>218</v>
      </c>
      <c r="B665" s="53" t="s">
        <v>78</v>
      </c>
      <c r="C665" s="54">
        <f t="shared" si="20"/>
        <v>42765.340450000003</v>
      </c>
      <c r="D665" s="54">
        <f t="shared" si="21"/>
        <v>42765.382116666668</v>
      </c>
      <c r="E665" s="63">
        <v>42765</v>
      </c>
      <c r="F665" s="61">
        <v>0.34044999999999997</v>
      </c>
      <c r="G665" s="63">
        <v>42765</v>
      </c>
      <c r="H665" s="61">
        <v>0.38211666666666666</v>
      </c>
      <c r="I665" s="55">
        <v>30</v>
      </c>
      <c r="J665" s="56" t="s">
        <v>227</v>
      </c>
      <c r="K665" s="75" t="s">
        <v>231</v>
      </c>
      <c r="L665" s="70">
        <v>0</v>
      </c>
    </row>
    <row r="666" spans="1:12" ht="15" customHeight="1">
      <c r="A666" s="53" t="s">
        <v>216</v>
      </c>
      <c r="B666" s="53" t="s">
        <v>79</v>
      </c>
      <c r="C666" s="54">
        <f t="shared" si="20"/>
        <v>43088.732550000001</v>
      </c>
      <c r="D666" s="54">
        <f t="shared" si="21"/>
        <v>43088.774216666665</v>
      </c>
      <c r="E666" s="63">
        <v>43088</v>
      </c>
      <c r="F666" s="61">
        <v>0.73255000000000003</v>
      </c>
      <c r="G666" s="63">
        <v>43088</v>
      </c>
      <c r="H666" s="61">
        <v>0.77421666666666666</v>
      </c>
      <c r="I666" s="55">
        <v>30</v>
      </c>
      <c r="J666" s="56" t="s">
        <v>227</v>
      </c>
      <c r="K666" s="75" t="s">
        <v>228</v>
      </c>
      <c r="L666" s="70">
        <v>0</v>
      </c>
    </row>
    <row r="667" spans="1:12" ht="15" customHeight="1">
      <c r="A667" s="53" t="s">
        <v>217</v>
      </c>
      <c r="B667" s="53" t="s">
        <v>80</v>
      </c>
      <c r="C667" s="54">
        <f t="shared" si="20"/>
        <v>42804.564010000002</v>
      </c>
      <c r="D667" s="54">
        <f t="shared" si="21"/>
        <v>42804.605676666666</v>
      </c>
      <c r="E667" s="63">
        <v>42804</v>
      </c>
      <c r="F667" s="61">
        <v>0.56401000000000001</v>
      </c>
      <c r="G667" s="63">
        <v>42804</v>
      </c>
      <c r="H667" s="61">
        <v>0.60567666666666664</v>
      </c>
      <c r="I667" s="55">
        <v>30</v>
      </c>
      <c r="J667" s="56" t="s">
        <v>232</v>
      </c>
      <c r="K667" s="75" t="s">
        <v>230</v>
      </c>
      <c r="L667" s="70">
        <v>0</v>
      </c>
    </row>
    <row r="668" spans="1:12" ht="15" customHeight="1">
      <c r="A668" s="53" t="s">
        <v>219</v>
      </c>
      <c r="B668" s="53" t="s">
        <v>81</v>
      </c>
      <c r="C668" s="54">
        <f t="shared" si="20"/>
        <v>42875.579680000003</v>
      </c>
      <c r="D668" s="54">
        <f t="shared" si="21"/>
        <v>42875.621346666667</v>
      </c>
      <c r="E668" s="63">
        <v>42875</v>
      </c>
      <c r="F668" s="61">
        <v>0.57967999999999997</v>
      </c>
      <c r="G668" s="63">
        <v>42875</v>
      </c>
      <c r="H668" s="61">
        <v>0.6213466666666666</v>
      </c>
      <c r="I668" s="55">
        <v>30</v>
      </c>
      <c r="J668" s="56" t="s">
        <v>227</v>
      </c>
      <c r="K668" s="75" t="s">
        <v>228</v>
      </c>
      <c r="L668" s="70">
        <v>0</v>
      </c>
    </row>
    <row r="669" spans="1:12" ht="15" customHeight="1">
      <c r="A669" s="53" t="s">
        <v>216</v>
      </c>
      <c r="B669" s="53" t="s">
        <v>82</v>
      </c>
      <c r="C669" s="54">
        <f t="shared" si="20"/>
        <v>43051.638939999997</v>
      </c>
      <c r="D669" s="54">
        <f t="shared" si="21"/>
        <v>43051.680606666669</v>
      </c>
      <c r="E669" s="63">
        <v>43051</v>
      </c>
      <c r="F669" s="61">
        <v>0.63893999999999995</v>
      </c>
      <c r="G669" s="63">
        <v>43051</v>
      </c>
      <c r="H669" s="61">
        <v>0.68060666666666658</v>
      </c>
      <c r="I669" s="55">
        <v>30</v>
      </c>
      <c r="J669" s="56" t="s">
        <v>232</v>
      </c>
      <c r="K669" s="75" t="s">
        <v>228</v>
      </c>
      <c r="L669" s="70">
        <v>0</v>
      </c>
    </row>
    <row r="670" spans="1:12" ht="15" customHeight="1">
      <c r="A670" s="53" t="s">
        <v>220</v>
      </c>
      <c r="B670" s="53" t="s">
        <v>83</v>
      </c>
      <c r="C670" s="54">
        <f t="shared" si="20"/>
        <v>42871.555079999998</v>
      </c>
      <c r="D670" s="54">
        <f t="shared" si="21"/>
        <v>42871.59674666667</v>
      </c>
      <c r="E670" s="63">
        <v>42871</v>
      </c>
      <c r="F670" s="61">
        <v>0.55508000000000002</v>
      </c>
      <c r="G670" s="63">
        <v>42871</v>
      </c>
      <c r="H670" s="61">
        <v>0.59674666666666665</v>
      </c>
      <c r="I670" s="55">
        <v>30</v>
      </c>
      <c r="J670" s="56" t="s">
        <v>227</v>
      </c>
      <c r="K670" s="75" t="s">
        <v>230</v>
      </c>
      <c r="L670" s="70">
        <v>0</v>
      </c>
    </row>
    <row r="671" spans="1:12" ht="15" customHeight="1">
      <c r="A671" s="53" t="s">
        <v>220</v>
      </c>
      <c r="B671" s="53" t="s">
        <v>84</v>
      </c>
      <c r="C671" s="54">
        <f t="shared" si="20"/>
        <v>42828.444990000004</v>
      </c>
      <c r="D671" s="54">
        <f t="shared" si="21"/>
        <v>42828.486656666668</v>
      </c>
      <c r="E671" s="63">
        <v>42828</v>
      </c>
      <c r="F671" s="61">
        <v>0.44499</v>
      </c>
      <c r="G671" s="63">
        <v>42828</v>
      </c>
      <c r="H671" s="61">
        <v>0.48665666666666668</v>
      </c>
      <c r="I671" s="55">
        <v>30</v>
      </c>
      <c r="J671" s="56" t="s">
        <v>229</v>
      </c>
      <c r="K671" s="75" t="s">
        <v>230</v>
      </c>
      <c r="L671" s="70">
        <v>0</v>
      </c>
    </row>
    <row r="672" spans="1:12" ht="15" customHeight="1">
      <c r="A672" s="53" t="s">
        <v>220</v>
      </c>
      <c r="B672" s="53" t="s">
        <v>85</v>
      </c>
      <c r="C672" s="54">
        <f t="shared" si="20"/>
        <v>42842.513449999999</v>
      </c>
      <c r="D672" s="54">
        <f t="shared" si="21"/>
        <v>42842.55511666667</v>
      </c>
      <c r="E672" s="63">
        <v>42842</v>
      </c>
      <c r="F672" s="61">
        <v>0.51344999999999996</v>
      </c>
      <c r="G672" s="63">
        <v>42842</v>
      </c>
      <c r="H672" s="61">
        <v>0.55511666666666659</v>
      </c>
      <c r="I672" s="55">
        <v>30</v>
      </c>
      <c r="J672" s="56" t="s">
        <v>227</v>
      </c>
      <c r="K672" s="75" t="s">
        <v>230</v>
      </c>
      <c r="L672" s="70">
        <v>0</v>
      </c>
    </row>
    <row r="673" spans="1:12" ht="15" customHeight="1">
      <c r="A673" s="53" t="s">
        <v>218</v>
      </c>
      <c r="B673" s="53" t="s">
        <v>86</v>
      </c>
      <c r="C673" s="54">
        <f t="shared" si="20"/>
        <v>43036.567969999996</v>
      </c>
      <c r="D673" s="54">
        <f t="shared" si="21"/>
        <v>43036.609636666668</v>
      </c>
      <c r="E673" s="63">
        <v>43036</v>
      </c>
      <c r="F673" s="61">
        <v>0.56796999999999997</v>
      </c>
      <c r="G673" s="63">
        <v>43036</v>
      </c>
      <c r="H673" s="61">
        <v>0.6096366666666666</v>
      </c>
      <c r="I673" s="55">
        <v>30</v>
      </c>
      <c r="J673" s="56" t="s">
        <v>229</v>
      </c>
      <c r="K673" s="75" t="s">
        <v>230</v>
      </c>
      <c r="L673" s="70">
        <v>0</v>
      </c>
    </row>
    <row r="674" spans="1:12" ht="15" customHeight="1">
      <c r="A674" s="53" t="s">
        <v>216</v>
      </c>
      <c r="B674" s="53" t="s">
        <v>87</v>
      </c>
      <c r="C674" s="54">
        <f t="shared" si="20"/>
        <v>42932.417800000003</v>
      </c>
      <c r="D674" s="54">
        <f t="shared" si="21"/>
        <v>42932.459466666667</v>
      </c>
      <c r="E674" s="63">
        <v>42932</v>
      </c>
      <c r="F674" s="61">
        <v>0.4178</v>
      </c>
      <c r="G674" s="63">
        <v>42932</v>
      </c>
      <c r="H674" s="61">
        <v>0.45946666666666669</v>
      </c>
      <c r="I674" s="55">
        <v>30</v>
      </c>
      <c r="J674" s="56" t="s">
        <v>229</v>
      </c>
      <c r="K674" s="75" t="s">
        <v>230</v>
      </c>
      <c r="L674" s="70">
        <v>0</v>
      </c>
    </row>
    <row r="675" spans="1:12" ht="15" customHeight="1">
      <c r="A675" s="53" t="s">
        <v>217</v>
      </c>
      <c r="B675" s="53" t="s">
        <v>88</v>
      </c>
      <c r="C675" s="54">
        <f t="shared" si="20"/>
        <v>42974.662920000002</v>
      </c>
      <c r="D675" s="54">
        <f t="shared" si="21"/>
        <v>42974.704586666667</v>
      </c>
      <c r="E675" s="63">
        <v>42974</v>
      </c>
      <c r="F675" s="61">
        <v>0.66291999999999995</v>
      </c>
      <c r="G675" s="63">
        <v>42974</v>
      </c>
      <c r="H675" s="61">
        <v>0.70458666666666658</v>
      </c>
      <c r="I675" s="55">
        <v>30</v>
      </c>
      <c r="J675" s="56" t="s">
        <v>227</v>
      </c>
      <c r="K675" s="75" t="s">
        <v>230</v>
      </c>
      <c r="L675" s="70">
        <v>0</v>
      </c>
    </row>
    <row r="676" spans="1:12" ht="15" customHeight="1">
      <c r="A676" s="53" t="s">
        <v>220</v>
      </c>
      <c r="B676" s="53" t="s">
        <v>89</v>
      </c>
      <c r="C676" s="54">
        <f t="shared" si="20"/>
        <v>42833.33107</v>
      </c>
      <c r="D676" s="54">
        <f t="shared" si="21"/>
        <v>42833.372736666664</v>
      </c>
      <c r="E676" s="63">
        <v>42833</v>
      </c>
      <c r="F676" s="61">
        <v>0.33106999999999998</v>
      </c>
      <c r="G676" s="63">
        <v>42833</v>
      </c>
      <c r="H676" s="61">
        <v>0.37273666666666666</v>
      </c>
      <c r="I676" s="55">
        <v>30</v>
      </c>
      <c r="J676" s="56" t="s">
        <v>232</v>
      </c>
      <c r="K676" s="75" t="s">
        <v>228</v>
      </c>
      <c r="L676" s="70">
        <v>0</v>
      </c>
    </row>
    <row r="677" spans="1:12" ht="15" customHeight="1">
      <c r="A677" s="53" t="s">
        <v>216</v>
      </c>
      <c r="B677" s="53" t="s">
        <v>90</v>
      </c>
      <c r="C677" s="54">
        <f t="shared" si="20"/>
        <v>42948.638370000001</v>
      </c>
      <c r="D677" s="54">
        <f t="shared" si="21"/>
        <v>42948.680036666665</v>
      </c>
      <c r="E677" s="63">
        <v>42948</v>
      </c>
      <c r="F677" s="61">
        <v>0.63836999999999999</v>
      </c>
      <c r="G677" s="63">
        <v>42948</v>
      </c>
      <c r="H677" s="61">
        <v>0.68003666666666662</v>
      </c>
      <c r="I677" s="55">
        <v>30</v>
      </c>
      <c r="J677" s="56" t="s">
        <v>229</v>
      </c>
      <c r="K677" s="75" t="s">
        <v>230</v>
      </c>
      <c r="L677" s="70">
        <v>0</v>
      </c>
    </row>
    <row r="678" spans="1:12" ht="15" customHeight="1">
      <c r="A678" s="53" t="s">
        <v>218</v>
      </c>
      <c r="B678" s="53" t="s">
        <v>91</v>
      </c>
      <c r="C678" s="54">
        <f t="shared" si="20"/>
        <v>43079.65855</v>
      </c>
      <c r="D678" s="54">
        <f t="shared" si="21"/>
        <v>43079.700216666664</v>
      </c>
      <c r="E678" s="63">
        <v>43079</v>
      </c>
      <c r="F678" s="61">
        <v>0.65854999999999997</v>
      </c>
      <c r="G678" s="63">
        <v>43079</v>
      </c>
      <c r="H678" s="61">
        <v>0.7002166666666666</v>
      </c>
      <c r="I678" s="55">
        <v>30</v>
      </c>
      <c r="J678" s="56" t="s">
        <v>232</v>
      </c>
      <c r="K678" s="75" t="s">
        <v>230</v>
      </c>
      <c r="L678" s="70">
        <v>0</v>
      </c>
    </row>
    <row r="679" spans="1:12" ht="15" customHeight="1">
      <c r="A679" s="53" t="s">
        <v>216</v>
      </c>
      <c r="B679" s="53" t="s">
        <v>92</v>
      </c>
      <c r="C679" s="54">
        <f t="shared" si="20"/>
        <v>42784.760999999999</v>
      </c>
      <c r="D679" s="54">
        <f t="shared" si="21"/>
        <v>42784.80266666667</v>
      </c>
      <c r="E679" s="63">
        <v>42784</v>
      </c>
      <c r="F679" s="61">
        <v>0.76100000000000001</v>
      </c>
      <c r="G679" s="63">
        <v>42784</v>
      </c>
      <c r="H679" s="61">
        <v>0.80266666666666664</v>
      </c>
      <c r="I679" s="55">
        <v>30</v>
      </c>
      <c r="J679" s="56" t="s">
        <v>229</v>
      </c>
      <c r="K679" s="75" t="s">
        <v>230</v>
      </c>
      <c r="L679" s="70">
        <v>0</v>
      </c>
    </row>
    <row r="680" spans="1:12" ht="15" customHeight="1">
      <c r="A680" s="53" t="s">
        <v>217</v>
      </c>
      <c r="B680" s="53" t="s">
        <v>93</v>
      </c>
      <c r="C680" s="54">
        <f t="shared" si="20"/>
        <v>42994.445639999998</v>
      </c>
      <c r="D680" s="54">
        <f t="shared" si="21"/>
        <v>42994.48730666667</v>
      </c>
      <c r="E680" s="63">
        <v>42994</v>
      </c>
      <c r="F680" s="61">
        <v>0.44563999999999998</v>
      </c>
      <c r="G680" s="63">
        <v>42994</v>
      </c>
      <c r="H680" s="61">
        <v>0.48730666666666667</v>
      </c>
      <c r="I680" s="55">
        <v>30</v>
      </c>
      <c r="J680" s="56" t="s">
        <v>229</v>
      </c>
      <c r="K680" s="75" t="s">
        <v>228</v>
      </c>
      <c r="L680" s="70">
        <v>0</v>
      </c>
    </row>
    <row r="681" spans="1:12" ht="15" customHeight="1">
      <c r="A681" s="53" t="s">
        <v>220</v>
      </c>
      <c r="B681" s="53" t="s">
        <v>94</v>
      </c>
      <c r="C681" s="54">
        <f t="shared" si="20"/>
        <v>43019.546880000002</v>
      </c>
      <c r="D681" s="54">
        <f t="shared" si="21"/>
        <v>43019.588546666666</v>
      </c>
      <c r="E681" s="63">
        <v>43019</v>
      </c>
      <c r="F681" s="61">
        <v>0.54688000000000003</v>
      </c>
      <c r="G681" s="63">
        <v>43019</v>
      </c>
      <c r="H681" s="61">
        <v>0.58854666666666666</v>
      </c>
      <c r="I681" s="55">
        <v>30</v>
      </c>
      <c r="J681" s="56" t="s">
        <v>229</v>
      </c>
      <c r="K681" s="75" t="s">
        <v>231</v>
      </c>
      <c r="L681" s="70">
        <v>0</v>
      </c>
    </row>
    <row r="682" spans="1:12" ht="15" customHeight="1">
      <c r="A682" s="53" t="s">
        <v>217</v>
      </c>
      <c r="B682" s="53" t="s">
        <v>95</v>
      </c>
      <c r="C682" s="54">
        <f t="shared" si="20"/>
        <v>43076.345329999996</v>
      </c>
      <c r="D682" s="54">
        <f t="shared" si="21"/>
        <v>43076.386996666668</v>
      </c>
      <c r="E682" s="63">
        <v>43076</v>
      </c>
      <c r="F682" s="61">
        <v>0.34533000000000003</v>
      </c>
      <c r="G682" s="63">
        <v>43076</v>
      </c>
      <c r="H682" s="61">
        <v>0.38699666666666671</v>
      </c>
      <c r="I682" s="55">
        <v>30</v>
      </c>
      <c r="J682" s="56" t="s">
        <v>229</v>
      </c>
      <c r="K682" s="75" t="s">
        <v>231</v>
      </c>
      <c r="L682" s="70">
        <v>0</v>
      </c>
    </row>
    <row r="683" spans="1:12" ht="15" customHeight="1">
      <c r="A683" s="53" t="s">
        <v>218</v>
      </c>
      <c r="B683" s="53" t="s">
        <v>96</v>
      </c>
      <c r="C683" s="54">
        <f t="shared" si="20"/>
        <v>42885.5576</v>
      </c>
      <c r="D683" s="54">
        <f t="shared" si="21"/>
        <v>42885.599266666664</v>
      </c>
      <c r="E683" s="63">
        <v>42885</v>
      </c>
      <c r="F683" s="61">
        <v>0.55759999999999998</v>
      </c>
      <c r="G683" s="63">
        <v>42885</v>
      </c>
      <c r="H683" s="61">
        <v>0.59926666666666661</v>
      </c>
      <c r="I683" s="55">
        <v>30</v>
      </c>
      <c r="J683" s="56" t="s">
        <v>232</v>
      </c>
      <c r="K683" s="75" t="s">
        <v>228</v>
      </c>
      <c r="L683" s="70">
        <v>0</v>
      </c>
    </row>
    <row r="684" spans="1:12" ht="15" customHeight="1">
      <c r="A684" s="53" t="s">
        <v>220</v>
      </c>
      <c r="B684" s="53" t="s">
        <v>97</v>
      </c>
      <c r="C684" s="54">
        <f t="shared" si="20"/>
        <v>43084.584569999999</v>
      </c>
      <c r="D684" s="54">
        <f t="shared" si="21"/>
        <v>43084.626236666663</v>
      </c>
      <c r="E684" s="63">
        <v>43084</v>
      </c>
      <c r="F684" s="61">
        <v>0.58457000000000003</v>
      </c>
      <c r="G684" s="63">
        <v>43084</v>
      </c>
      <c r="H684" s="61">
        <v>0.62623666666666666</v>
      </c>
      <c r="I684" s="55">
        <v>30</v>
      </c>
      <c r="J684" s="56" t="s">
        <v>232</v>
      </c>
      <c r="K684" s="75" t="s">
        <v>230</v>
      </c>
      <c r="L684" s="70">
        <v>0</v>
      </c>
    </row>
    <row r="685" spans="1:12" ht="15" customHeight="1">
      <c r="A685" s="53" t="s">
        <v>220</v>
      </c>
      <c r="B685" s="53" t="s">
        <v>98</v>
      </c>
      <c r="C685" s="54">
        <f t="shared" si="20"/>
        <v>43062.658949999997</v>
      </c>
      <c r="D685" s="54">
        <f t="shared" si="21"/>
        <v>43062.700616666669</v>
      </c>
      <c r="E685" s="63">
        <v>43062</v>
      </c>
      <c r="F685" s="61">
        <v>0.65895000000000004</v>
      </c>
      <c r="G685" s="63">
        <v>43062</v>
      </c>
      <c r="H685" s="61">
        <v>0.70061666666666667</v>
      </c>
      <c r="I685" s="55">
        <v>30</v>
      </c>
      <c r="J685" s="56" t="s">
        <v>232</v>
      </c>
      <c r="K685" s="75" t="s">
        <v>231</v>
      </c>
      <c r="L685" s="70">
        <v>0</v>
      </c>
    </row>
    <row r="686" spans="1:12" ht="15" customHeight="1">
      <c r="A686" s="53" t="s">
        <v>218</v>
      </c>
      <c r="B686" s="53" t="s">
        <v>99</v>
      </c>
      <c r="C686" s="54">
        <f t="shared" si="20"/>
        <v>42844.460679999997</v>
      </c>
      <c r="D686" s="54">
        <f t="shared" si="21"/>
        <v>42844.502346666668</v>
      </c>
      <c r="E686" s="63">
        <v>42844</v>
      </c>
      <c r="F686" s="61">
        <v>0.46067999999999998</v>
      </c>
      <c r="G686" s="63">
        <v>42844</v>
      </c>
      <c r="H686" s="61">
        <v>0.50234666666666661</v>
      </c>
      <c r="I686" s="55">
        <v>30</v>
      </c>
      <c r="J686" s="56" t="s">
        <v>229</v>
      </c>
      <c r="K686" s="75" t="s">
        <v>228</v>
      </c>
      <c r="L686" s="70">
        <v>0</v>
      </c>
    </row>
    <row r="687" spans="1:12" ht="15" customHeight="1">
      <c r="A687" s="53" t="s">
        <v>216</v>
      </c>
      <c r="B687" s="53" t="s">
        <v>100</v>
      </c>
      <c r="C687" s="54">
        <f t="shared" si="20"/>
        <v>42986.715680000001</v>
      </c>
      <c r="D687" s="54">
        <f t="shared" si="21"/>
        <v>42986.757346666665</v>
      </c>
      <c r="E687" s="63">
        <v>42986</v>
      </c>
      <c r="F687" s="61">
        <v>0.71567999999999998</v>
      </c>
      <c r="G687" s="63">
        <v>42986</v>
      </c>
      <c r="H687" s="61">
        <v>0.75734666666666661</v>
      </c>
      <c r="I687" s="55">
        <v>30</v>
      </c>
      <c r="J687" s="56" t="s">
        <v>232</v>
      </c>
      <c r="K687" s="75" t="s">
        <v>230</v>
      </c>
      <c r="L687" s="70">
        <v>0</v>
      </c>
    </row>
    <row r="688" spans="1:12" ht="15" customHeight="1">
      <c r="A688" s="53" t="s">
        <v>218</v>
      </c>
      <c r="B688" s="53" t="s">
        <v>101</v>
      </c>
      <c r="C688" s="54">
        <f t="shared" si="20"/>
        <v>42883.440340000001</v>
      </c>
      <c r="D688" s="54">
        <f t="shared" si="21"/>
        <v>42883.482006666665</v>
      </c>
      <c r="E688" s="63">
        <v>42883</v>
      </c>
      <c r="F688" s="61">
        <v>0.44034000000000001</v>
      </c>
      <c r="G688" s="63">
        <v>42883</v>
      </c>
      <c r="H688" s="61">
        <v>0.48200666666666669</v>
      </c>
      <c r="I688" s="55">
        <v>30</v>
      </c>
      <c r="J688" s="56" t="s">
        <v>229</v>
      </c>
      <c r="K688" s="75" t="s">
        <v>230</v>
      </c>
      <c r="L688" s="70">
        <v>0</v>
      </c>
    </row>
    <row r="689" spans="1:12" ht="15" customHeight="1">
      <c r="A689" s="53" t="s">
        <v>218</v>
      </c>
      <c r="B689" s="53" t="s">
        <v>102</v>
      </c>
      <c r="C689" s="54">
        <f t="shared" si="20"/>
        <v>42806.670940000004</v>
      </c>
      <c r="D689" s="54">
        <f t="shared" si="21"/>
        <v>42806.712606666668</v>
      </c>
      <c r="E689" s="63">
        <v>42806</v>
      </c>
      <c r="F689" s="61">
        <v>0.67093999999999998</v>
      </c>
      <c r="G689" s="63">
        <v>42806</v>
      </c>
      <c r="H689" s="61">
        <v>0.71260666666666661</v>
      </c>
      <c r="I689" s="55">
        <v>30</v>
      </c>
      <c r="J689" s="56" t="s">
        <v>229</v>
      </c>
      <c r="K689" s="75" t="s">
        <v>231</v>
      </c>
      <c r="L689" s="70">
        <v>0</v>
      </c>
    </row>
    <row r="690" spans="1:12" ht="15" customHeight="1">
      <c r="A690" s="53" t="s">
        <v>219</v>
      </c>
      <c r="B690" s="53" t="s">
        <v>103</v>
      </c>
      <c r="C690" s="54">
        <f t="shared" si="20"/>
        <v>43078.354420000003</v>
      </c>
      <c r="D690" s="54">
        <f t="shared" si="21"/>
        <v>43078.396086666668</v>
      </c>
      <c r="E690" s="63">
        <v>43078</v>
      </c>
      <c r="F690" s="61">
        <v>0.35442000000000001</v>
      </c>
      <c r="G690" s="63">
        <v>43078</v>
      </c>
      <c r="H690" s="61">
        <v>0.3960866666666667</v>
      </c>
      <c r="I690" s="55">
        <v>30</v>
      </c>
      <c r="J690" s="56" t="s">
        <v>229</v>
      </c>
      <c r="K690" s="75" t="s">
        <v>230</v>
      </c>
      <c r="L690" s="70">
        <v>0</v>
      </c>
    </row>
    <row r="691" spans="1:12" ht="15" customHeight="1">
      <c r="A691" s="53" t="s">
        <v>220</v>
      </c>
      <c r="B691" s="53" t="s">
        <v>104</v>
      </c>
      <c r="C691" s="54">
        <f t="shared" si="20"/>
        <v>42884.542509999999</v>
      </c>
      <c r="D691" s="54">
        <f t="shared" si="21"/>
        <v>42884.584176666664</v>
      </c>
      <c r="E691" s="63">
        <v>42884</v>
      </c>
      <c r="F691" s="61">
        <v>0.54251000000000005</v>
      </c>
      <c r="G691" s="63">
        <v>42884</v>
      </c>
      <c r="H691" s="61">
        <v>0.58417666666666668</v>
      </c>
      <c r="I691" s="55">
        <v>30</v>
      </c>
      <c r="J691" s="56" t="s">
        <v>227</v>
      </c>
      <c r="K691" s="75" t="s">
        <v>228</v>
      </c>
      <c r="L691" s="70">
        <v>0</v>
      </c>
    </row>
    <row r="692" spans="1:12" ht="15" customHeight="1">
      <c r="A692" s="53" t="s">
        <v>219</v>
      </c>
      <c r="B692" s="53" t="s">
        <v>105</v>
      </c>
      <c r="C692" s="54">
        <f t="shared" si="20"/>
        <v>42934.433649999999</v>
      </c>
      <c r="D692" s="54">
        <f t="shared" si="21"/>
        <v>42934.475316666663</v>
      </c>
      <c r="E692" s="63">
        <v>42934</v>
      </c>
      <c r="F692" s="61">
        <v>0.43364999999999998</v>
      </c>
      <c r="G692" s="63">
        <v>42934</v>
      </c>
      <c r="H692" s="61">
        <v>0.47531666666666667</v>
      </c>
      <c r="I692" s="55">
        <v>30</v>
      </c>
      <c r="J692" s="56" t="s">
        <v>227</v>
      </c>
      <c r="K692" s="75" t="s">
        <v>230</v>
      </c>
      <c r="L692" s="70">
        <v>0</v>
      </c>
    </row>
    <row r="693" spans="1:12" ht="15" customHeight="1">
      <c r="A693" s="53" t="s">
        <v>219</v>
      </c>
      <c r="B693" s="53" t="s">
        <v>106</v>
      </c>
      <c r="C693" s="54">
        <f t="shared" si="20"/>
        <v>43009.581310000001</v>
      </c>
      <c r="D693" s="54">
        <f t="shared" si="21"/>
        <v>43009.622976666666</v>
      </c>
      <c r="E693" s="63">
        <v>43009</v>
      </c>
      <c r="F693" s="61">
        <v>0.58130999999999999</v>
      </c>
      <c r="G693" s="63">
        <v>43009</v>
      </c>
      <c r="H693" s="61">
        <v>0.62297666666666662</v>
      </c>
      <c r="I693" s="55">
        <v>30</v>
      </c>
      <c r="J693" s="56" t="s">
        <v>229</v>
      </c>
      <c r="K693" s="75" t="s">
        <v>228</v>
      </c>
      <c r="L693" s="70">
        <v>0</v>
      </c>
    </row>
    <row r="694" spans="1:12" ht="15" customHeight="1">
      <c r="A694" s="53" t="s">
        <v>217</v>
      </c>
      <c r="B694" s="53" t="s">
        <v>107</v>
      </c>
      <c r="C694" s="54">
        <f t="shared" si="20"/>
        <v>43066.349979999999</v>
      </c>
      <c r="D694" s="54">
        <f t="shared" si="21"/>
        <v>43066.391646666663</v>
      </c>
      <c r="E694" s="63">
        <v>43066</v>
      </c>
      <c r="F694" s="61">
        <v>0.34998000000000001</v>
      </c>
      <c r="G694" s="63">
        <v>43066</v>
      </c>
      <c r="H694" s="61">
        <v>0.3916466666666667</v>
      </c>
      <c r="I694" s="55">
        <v>30</v>
      </c>
      <c r="J694" s="56" t="s">
        <v>232</v>
      </c>
      <c r="K694" s="75" t="s">
        <v>231</v>
      </c>
      <c r="L694" s="70">
        <v>0</v>
      </c>
    </row>
    <row r="695" spans="1:12" ht="15" customHeight="1">
      <c r="A695" s="53" t="s">
        <v>219</v>
      </c>
      <c r="B695" s="53" t="s">
        <v>108</v>
      </c>
      <c r="C695" s="54">
        <f t="shared" si="20"/>
        <v>42829.467360000002</v>
      </c>
      <c r="D695" s="54">
        <f t="shared" si="21"/>
        <v>42829.509026666667</v>
      </c>
      <c r="E695" s="63">
        <v>42829</v>
      </c>
      <c r="F695" s="61">
        <v>0.46736</v>
      </c>
      <c r="G695" s="63">
        <v>42829</v>
      </c>
      <c r="H695" s="61">
        <v>0.50902666666666663</v>
      </c>
      <c r="I695" s="55">
        <v>30</v>
      </c>
      <c r="J695" s="56" t="s">
        <v>227</v>
      </c>
      <c r="K695" s="75" t="s">
        <v>228</v>
      </c>
      <c r="L695" s="70">
        <v>0</v>
      </c>
    </row>
    <row r="696" spans="1:12" ht="15" customHeight="1">
      <c r="A696" s="53" t="s">
        <v>220</v>
      </c>
      <c r="B696" s="53" t="s">
        <v>109</v>
      </c>
      <c r="C696" s="54">
        <f t="shared" si="20"/>
        <v>42962.690900000001</v>
      </c>
      <c r="D696" s="54">
        <f t="shared" si="21"/>
        <v>42962.732566666666</v>
      </c>
      <c r="E696" s="63">
        <v>42962</v>
      </c>
      <c r="F696" s="61">
        <v>0.69089999999999996</v>
      </c>
      <c r="G696" s="63">
        <v>42962</v>
      </c>
      <c r="H696" s="61">
        <v>0.73256666666666659</v>
      </c>
      <c r="I696" s="55">
        <v>30</v>
      </c>
      <c r="J696" s="56" t="s">
        <v>232</v>
      </c>
      <c r="K696" s="75" t="s">
        <v>228</v>
      </c>
      <c r="L696" s="70">
        <v>0</v>
      </c>
    </row>
    <row r="697" spans="1:12" ht="15" customHeight="1">
      <c r="A697" s="53" t="s">
        <v>217</v>
      </c>
      <c r="B697" s="53" t="s">
        <v>110</v>
      </c>
      <c r="C697" s="54">
        <f t="shared" si="20"/>
        <v>42972.50879</v>
      </c>
      <c r="D697" s="54">
        <f t="shared" si="21"/>
        <v>42972.550456666664</v>
      </c>
      <c r="E697" s="63">
        <v>42972</v>
      </c>
      <c r="F697" s="61">
        <v>0.50878999999999996</v>
      </c>
      <c r="G697" s="63">
        <v>42972</v>
      </c>
      <c r="H697" s="61">
        <v>0.55045666666666659</v>
      </c>
      <c r="I697" s="55">
        <v>30</v>
      </c>
      <c r="J697" s="56" t="s">
        <v>229</v>
      </c>
      <c r="K697" s="75" t="s">
        <v>231</v>
      </c>
      <c r="L697" s="70">
        <v>0</v>
      </c>
    </row>
    <row r="698" spans="1:12" ht="15" customHeight="1">
      <c r="A698" s="53" t="s">
        <v>217</v>
      </c>
      <c r="B698" s="53" t="s">
        <v>111</v>
      </c>
      <c r="C698" s="54">
        <f t="shared" si="20"/>
        <v>42953.449509999999</v>
      </c>
      <c r="D698" s="54">
        <f t="shared" si="21"/>
        <v>42953.49117666667</v>
      </c>
      <c r="E698" s="63">
        <v>42953</v>
      </c>
      <c r="F698" s="61">
        <v>0.44951000000000002</v>
      </c>
      <c r="G698" s="63">
        <v>42953</v>
      </c>
      <c r="H698" s="61">
        <v>0.49117666666666671</v>
      </c>
      <c r="I698" s="55">
        <v>30</v>
      </c>
      <c r="J698" s="56" t="s">
        <v>227</v>
      </c>
      <c r="K698" s="75" t="s">
        <v>228</v>
      </c>
      <c r="L698" s="70">
        <v>0</v>
      </c>
    </row>
    <row r="699" spans="1:12" ht="15" customHeight="1">
      <c r="A699" s="53" t="s">
        <v>218</v>
      </c>
      <c r="B699" s="53" t="s">
        <v>112</v>
      </c>
      <c r="C699" s="54">
        <f t="shared" si="20"/>
        <v>42892.736539999998</v>
      </c>
      <c r="D699" s="54">
        <f t="shared" si="21"/>
        <v>42892.77820666667</v>
      </c>
      <c r="E699" s="63">
        <v>42892</v>
      </c>
      <c r="F699" s="61">
        <v>0.73653999999999997</v>
      </c>
      <c r="G699" s="63">
        <v>42892</v>
      </c>
      <c r="H699" s="61">
        <v>0.7782066666666666</v>
      </c>
      <c r="I699" s="55">
        <v>30</v>
      </c>
      <c r="J699" s="56" t="s">
        <v>227</v>
      </c>
      <c r="K699" s="75" t="s">
        <v>230</v>
      </c>
      <c r="L699" s="70">
        <v>0</v>
      </c>
    </row>
    <row r="700" spans="1:12" ht="15" customHeight="1">
      <c r="A700" s="53" t="s">
        <v>219</v>
      </c>
      <c r="B700" s="53" t="s">
        <v>113</v>
      </c>
      <c r="C700" s="54">
        <f t="shared" si="20"/>
        <v>42799.548929999997</v>
      </c>
      <c r="D700" s="54">
        <f t="shared" si="21"/>
        <v>42799.590596666669</v>
      </c>
      <c r="E700" s="63">
        <v>42799</v>
      </c>
      <c r="F700" s="61">
        <v>0.54893000000000003</v>
      </c>
      <c r="G700" s="63">
        <v>42799</v>
      </c>
      <c r="H700" s="61">
        <v>0.59059666666666666</v>
      </c>
      <c r="I700" s="55">
        <v>30</v>
      </c>
      <c r="J700" s="56" t="s">
        <v>229</v>
      </c>
      <c r="K700" s="75" t="s">
        <v>228</v>
      </c>
      <c r="L700" s="70">
        <v>0</v>
      </c>
    </row>
    <row r="701" spans="1:12" ht="15" customHeight="1">
      <c r="A701" s="53" t="s">
        <v>218</v>
      </c>
      <c r="B701" s="53" t="s">
        <v>114</v>
      </c>
      <c r="C701" s="54">
        <f t="shared" si="20"/>
        <v>42821.371120000003</v>
      </c>
      <c r="D701" s="54">
        <f t="shared" si="21"/>
        <v>42821.412786666668</v>
      </c>
      <c r="E701" s="63">
        <v>42821</v>
      </c>
      <c r="F701" s="61">
        <v>0.37112000000000001</v>
      </c>
      <c r="G701" s="63">
        <v>42821</v>
      </c>
      <c r="H701" s="61">
        <v>0.41278666666666669</v>
      </c>
      <c r="I701" s="55">
        <v>30</v>
      </c>
      <c r="J701" s="56" t="s">
        <v>227</v>
      </c>
      <c r="K701" s="75" t="s">
        <v>228</v>
      </c>
      <c r="L701" s="70">
        <v>0</v>
      </c>
    </row>
    <row r="702" spans="1:12" ht="15" customHeight="1">
      <c r="A702" s="53" t="s">
        <v>217</v>
      </c>
      <c r="B702" s="53" t="s">
        <v>115</v>
      </c>
      <c r="C702" s="54">
        <f t="shared" si="20"/>
        <v>42921.353779999998</v>
      </c>
      <c r="D702" s="54">
        <f t="shared" si="21"/>
        <v>42921.395446666669</v>
      </c>
      <c r="E702" s="63">
        <v>42921</v>
      </c>
      <c r="F702" s="61">
        <v>0.35377999999999998</v>
      </c>
      <c r="G702" s="63">
        <v>42921</v>
      </c>
      <c r="H702" s="61">
        <v>0.39544666666666667</v>
      </c>
      <c r="I702" s="55">
        <v>30</v>
      </c>
      <c r="J702" s="56" t="s">
        <v>229</v>
      </c>
      <c r="K702" s="75" t="s">
        <v>231</v>
      </c>
      <c r="L702" s="70">
        <v>0</v>
      </c>
    </row>
    <row r="703" spans="1:12" ht="15" customHeight="1">
      <c r="A703" s="53" t="s">
        <v>217</v>
      </c>
      <c r="B703" s="53" t="s">
        <v>116</v>
      </c>
      <c r="C703" s="54">
        <f t="shared" si="20"/>
        <v>43062.437460000001</v>
      </c>
      <c r="D703" s="54">
        <f t="shared" si="21"/>
        <v>43062.479126666665</v>
      </c>
      <c r="E703" s="63">
        <v>43062</v>
      </c>
      <c r="F703" s="61">
        <v>0.43746000000000002</v>
      </c>
      <c r="G703" s="63">
        <v>43062</v>
      </c>
      <c r="H703" s="61">
        <v>0.4791266666666667</v>
      </c>
      <c r="I703" s="55">
        <v>30</v>
      </c>
      <c r="J703" s="56" t="s">
        <v>229</v>
      </c>
      <c r="K703" s="75" t="s">
        <v>231</v>
      </c>
      <c r="L703" s="70">
        <v>0</v>
      </c>
    </row>
    <row r="704" spans="1:12" ht="15" customHeight="1">
      <c r="A704" s="53" t="s">
        <v>220</v>
      </c>
      <c r="B704" s="53" t="s">
        <v>117</v>
      </c>
      <c r="C704" s="54">
        <f t="shared" si="20"/>
        <v>42776.427649999998</v>
      </c>
      <c r="D704" s="54">
        <f t="shared" si="21"/>
        <v>42776.469316666669</v>
      </c>
      <c r="E704" s="63">
        <v>42776</v>
      </c>
      <c r="F704" s="61">
        <v>0.42764999999999997</v>
      </c>
      <c r="G704" s="63">
        <v>42776</v>
      </c>
      <c r="H704" s="61">
        <v>0.46931666666666666</v>
      </c>
      <c r="I704" s="55">
        <v>30</v>
      </c>
      <c r="J704" s="56" t="s">
        <v>227</v>
      </c>
      <c r="K704" s="75" t="s">
        <v>230</v>
      </c>
      <c r="L704" s="70">
        <v>0</v>
      </c>
    </row>
    <row r="705" spans="1:12" ht="15" customHeight="1">
      <c r="A705" s="53" t="s">
        <v>217</v>
      </c>
      <c r="B705" s="53" t="s">
        <v>118</v>
      </c>
      <c r="C705" s="54">
        <f t="shared" si="20"/>
        <v>42864.576209999999</v>
      </c>
      <c r="D705" s="54">
        <f t="shared" si="21"/>
        <v>42864.617876666664</v>
      </c>
      <c r="E705" s="63">
        <v>42864</v>
      </c>
      <c r="F705" s="61">
        <v>0.57621</v>
      </c>
      <c r="G705" s="63">
        <v>42864</v>
      </c>
      <c r="H705" s="61">
        <v>0.61787666666666663</v>
      </c>
      <c r="I705" s="55">
        <v>30</v>
      </c>
      <c r="J705" s="56" t="s">
        <v>229</v>
      </c>
      <c r="K705" s="75" t="s">
        <v>231</v>
      </c>
      <c r="L705" s="70">
        <v>0</v>
      </c>
    </row>
    <row r="706" spans="1:12" ht="15" customHeight="1">
      <c r="A706" s="53" t="s">
        <v>218</v>
      </c>
      <c r="B706" s="53" t="s">
        <v>119</v>
      </c>
      <c r="C706" s="54">
        <f t="shared" si="20"/>
        <v>42919.598610000001</v>
      </c>
      <c r="D706" s="54">
        <f t="shared" si="21"/>
        <v>42919.640276666665</v>
      </c>
      <c r="E706" s="63">
        <v>42919</v>
      </c>
      <c r="F706" s="61">
        <v>0.59860999999999998</v>
      </c>
      <c r="G706" s="63">
        <v>42919</v>
      </c>
      <c r="H706" s="61">
        <v>0.64027666666666661</v>
      </c>
      <c r="I706" s="55">
        <v>30</v>
      </c>
      <c r="J706" s="56" t="s">
        <v>232</v>
      </c>
      <c r="K706" s="75" t="s">
        <v>230</v>
      </c>
      <c r="L706" s="70">
        <v>0</v>
      </c>
    </row>
    <row r="707" spans="1:12" ht="15" customHeight="1">
      <c r="A707" s="53" t="s">
        <v>216</v>
      </c>
      <c r="B707" s="53" t="s">
        <v>120</v>
      </c>
      <c r="C707" s="54">
        <f t="shared" ref="C707:C770" si="22">E707+F707</f>
        <v>42828.753100000002</v>
      </c>
      <c r="D707" s="54">
        <f t="shared" ref="D707:D770" si="23">G707+H707</f>
        <v>42828.794766666666</v>
      </c>
      <c r="E707" s="63">
        <v>42828</v>
      </c>
      <c r="F707" s="61">
        <v>0.75309999999999999</v>
      </c>
      <c r="G707" s="63">
        <v>42828</v>
      </c>
      <c r="H707" s="61">
        <v>0.79476666666666662</v>
      </c>
      <c r="I707" s="55">
        <v>30</v>
      </c>
      <c r="J707" s="56" t="s">
        <v>232</v>
      </c>
      <c r="K707" s="75" t="s">
        <v>228</v>
      </c>
      <c r="L707" s="70">
        <v>0</v>
      </c>
    </row>
    <row r="708" spans="1:12" ht="15" customHeight="1">
      <c r="A708" s="53" t="s">
        <v>218</v>
      </c>
      <c r="B708" s="53" t="s">
        <v>121</v>
      </c>
      <c r="C708" s="54">
        <f t="shared" si="22"/>
        <v>42791.694210000001</v>
      </c>
      <c r="D708" s="54">
        <f t="shared" si="23"/>
        <v>42791.735876666666</v>
      </c>
      <c r="E708" s="63">
        <v>42791</v>
      </c>
      <c r="F708" s="61">
        <v>0.69420999999999999</v>
      </c>
      <c r="G708" s="63">
        <v>42791</v>
      </c>
      <c r="H708" s="61">
        <v>0.73587666666666662</v>
      </c>
      <c r="I708" s="55">
        <v>30</v>
      </c>
      <c r="J708" s="56" t="s">
        <v>232</v>
      </c>
      <c r="K708" s="75" t="s">
        <v>231</v>
      </c>
      <c r="L708" s="70">
        <v>0</v>
      </c>
    </row>
    <row r="709" spans="1:12" ht="15" customHeight="1">
      <c r="A709" s="53" t="s">
        <v>219</v>
      </c>
      <c r="B709" s="53" t="s">
        <v>122</v>
      </c>
      <c r="C709" s="54">
        <f t="shared" si="22"/>
        <v>42804.350429999999</v>
      </c>
      <c r="D709" s="54">
        <f t="shared" si="23"/>
        <v>42804.39209666667</v>
      </c>
      <c r="E709" s="63">
        <v>42804</v>
      </c>
      <c r="F709" s="61">
        <v>0.35043000000000002</v>
      </c>
      <c r="G709" s="63">
        <v>42804</v>
      </c>
      <c r="H709" s="61">
        <v>0.3920966666666667</v>
      </c>
      <c r="I709" s="55">
        <v>30</v>
      </c>
      <c r="J709" s="56" t="s">
        <v>232</v>
      </c>
      <c r="K709" s="75" t="s">
        <v>228</v>
      </c>
      <c r="L709" s="70">
        <v>0</v>
      </c>
    </row>
    <row r="710" spans="1:12" ht="15" customHeight="1">
      <c r="A710" s="53" t="s">
        <v>220</v>
      </c>
      <c r="B710" s="53" t="s">
        <v>123</v>
      </c>
      <c r="C710" s="54">
        <f t="shared" si="22"/>
        <v>42773.37023</v>
      </c>
      <c r="D710" s="54">
        <f t="shared" si="23"/>
        <v>42773.411896666665</v>
      </c>
      <c r="E710" s="63">
        <v>42773</v>
      </c>
      <c r="F710" s="61">
        <v>0.37023</v>
      </c>
      <c r="G710" s="63">
        <v>42773</v>
      </c>
      <c r="H710" s="61">
        <v>0.41189666666666669</v>
      </c>
      <c r="I710" s="55">
        <v>30</v>
      </c>
      <c r="J710" s="56" t="s">
        <v>229</v>
      </c>
      <c r="K710" s="75" t="s">
        <v>230</v>
      </c>
      <c r="L710" s="70">
        <v>0</v>
      </c>
    </row>
    <row r="711" spans="1:12" ht="15" customHeight="1">
      <c r="A711" s="53" t="s">
        <v>220</v>
      </c>
      <c r="B711" s="53" t="s">
        <v>124</v>
      </c>
      <c r="C711" s="54">
        <f t="shared" si="22"/>
        <v>42900.398560000001</v>
      </c>
      <c r="D711" s="54">
        <f t="shared" si="23"/>
        <v>42900.440226666666</v>
      </c>
      <c r="E711" s="63">
        <v>42900</v>
      </c>
      <c r="F711" s="61">
        <v>0.39856000000000003</v>
      </c>
      <c r="G711" s="63">
        <v>42900</v>
      </c>
      <c r="H711" s="61">
        <v>0.44022666666666671</v>
      </c>
      <c r="I711" s="55">
        <v>30</v>
      </c>
      <c r="J711" s="56" t="s">
        <v>229</v>
      </c>
      <c r="K711" s="75" t="s">
        <v>231</v>
      </c>
      <c r="L711" s="70">
        <v>0</v>
      </c>
    </row>
    <row r="712" spans="1:12" ht="15" customHeight="1">
      <c r="A712" s="53" t="s">
        <v>219</v>
      </c>
      <c r="B712" s="53" t="s">
        <v>125</v>
      </c>
      <c r="C712" s="54">
        <f t="shared" si="22"/>
        <v>42900.545279999998</v>
      </c>
      <c r="D712" s="54">
        <f t="shared" si="23"/>
        <v>42900.58694666667</v>
      </c>
      <c r="E712" s="63">
        <v>42900</v>
      </c>
      <c r="F712" s="61">
        <v>0.54527999999999999</v>
      </c>
      <c r="G712" s="63">
        <v>42900</v>
      </c>
      <c r="H712" s="61">
        <v>0.58694666666666662</v>
      </c>
      <c r="I712" s="55">
        <v>30</v>
      </c>
      <c r="J712" s="56" t="s">
        <v>227</v>
      </c>
      <c r="K712" s="75" t="s">
        <v>228</v>
      </c>
      <c r="L712" s="70">
        <v>0</v>
      </c>
    </row>
    <row r="713" spans="1:12" ht="15" customHeight="1">
      <c r="A713" s="53" t="s">
        <v>219</v>
      </c>
      <c r="B713" s="53" t="s">
        <v>126</v>
      </c>
      <c r="C713" s="54">
        <f t="shared" si="22"/>
        <v>42738.497210000001</v>
      </c>
      <c r="D713" s="54">
        <f t="shared" si="23"/>
        <v>42738.538876666666</v>
      </c>
      <c r="E713" s="63">
        <v>42738</v>
      </c>
      <c r="F713" s="61">
        <v>0.49720999999999999</v>
      </c>
      <c r="G713" s="63">
        <v>42738</v>
      </c>
      <c r="H713" s="61">
        <v>0.53887666666666667</v>
      </c>
      <c r="I713" s="55">
        <v>30</v>
      </c>
      <c r="J713" s="56" t="s">
        <v>232</v>
      </c>
      <c r="K713" s="75" t="s">
        <v>228</v>
      </c>
      <c r="L713" s="70">
        <v>0</v>
      </c>
    </row>
    <row r="714" spans="1:12" ht="15" customHeight="1">
      <c r="A714" s="53" t="s">
        <v>220</v>
      </c>
      <c r="B714" s="53" t="s">
        <v>127</v>
      </c>
      <c r="C714" s="54">
        <f t="shared" si="22"/>
        <v>42847.459179999998</v>
      </c>
      <c r="D714" s="54">
        <f t="shared" si="23"/>
        <v>42847.50084666667</v>
      </c>
      <c r="E714" s="63">
        <v>42847</v>
      </c>
      <c r="F714" s="61">
        <v>0.45917999999999998</v>
      </c>
      <c r="G714" s="63">
        <v>42847</v>
      </c>
      <c r="H714" s="61">
        <v>0.50084666666666666</v>
      </c>
      <c r="I714" s="55">
        <v>30</v>
      </c>
      <c r="J714" s="56" t="s">
        <v>229</v>
      </c>
      <c r="K714" s="75" t="s">
        <v>228</v>
      </c>
      <c r="L714" s="70">
        <v>0</v>
      </c>
    </row>
    <row r="715" spans="1:12" ht="15" customHeight="1">
      <c r="A715" s="53" t="s">
        <v>216</v>
      </c>
      <c r="B715" s="53" t="s">
        <v>128</v>
      </c>
      <c r="C715" s="54">
        <f t="shared" si="22"/>
        <v>43096.740989999998</v>
      </c>
      <c r="D715" s="54">
        <f t="shared" si="23"/>
        <v>43096.78265666667</v>
      </c>
      <c r="E715" s="63">
        <v>43096</v>
      </c>
      <c r="F715" s="61">
        <v>0.74099000000000004</v>
      </c>
      <c r="G715" s="63">
        <v>43096</v>
      </c>
      <c r="H715" s="61">
        <v>0.78265666666666667</v>
      </c>
      <c r="I715" s="55">
        <v>30</v>
      </c>
      <c r="J715" s="56" t="s">
        <v>229</v>
      </c>
      <c r="K715" s="75" t="s">
        <v>231</v>
      </c>
      <c r="L715" s="70">
        <v>0</v>
      </c>
    </row>
    <row r="716" spans="1:12" ht="15" customHeight="1">
      <c r="A716" s="53" t="s">
        <v>217</v>
      </c>
      <c r="B716" s="53" t="s">
        <v>129</v>
      </c>
      <c r="C716" s="54">
        <f t="shared" si="22"/>
        <v>42787.362439999997</v>
      </c>
      <c r="D716" s="54">
        <f t="shared" si="23"/>
        <v>42787.404106666669</v>
      </c>
      <c r="E716" s="63">
        <v>42787</v>
      </c>
      <c r="F716" s="61">
        <v>0.36243999999999998</v>
      </c>
      <c r="G716" s="63">
        <v>42787</v>
      </c>
      <c r="H716" s="61">
        <v>0.40410666666666667</v>
      </c>
      <c r="I716" s="55">
        <v>30</v>
      </c>
      <c r="J716" s="56" t="s">
        <v>227</v>
      </c>
      <c r="K716" s="75" t="s">
        <v>228</v>
      </c>
      <c r="L716" s="70">
        <v>0</v>
      </c>
    </row>
    <row r="717" spans="1:12" ht="15" customHeight="1">
      <c r="A717" s="53" t="s">
        <v>217</v>
      </c>
      <c r="B717" s="53" t="s">
        <v>130</v>
      </c>
      <c r="C717" s="54">
        <f t="shared" si="22"/>
        <v>42748.463770000002</v>
      </c>
      <c r="D717" s="54">
        <f t="shared" si="23"/>
        <v>42748.505436666666</v>
      </c>
      <c r="E717" s="63">
        <v>42748</v>
      </c>
      <c r="F717" s="61">
        <v>0.46377000000000002</v>
      </c>
      <c r="G717" s="63">
        <v>42748</v>
      </c>
      <c r="H717" s="61">
        <v>0.50543666666666665</v>
      </c>
      <c r="I717" s="55">
        <v>30</v>
      </c>
      <c r="J717" s="56" t="s">
        <v>229</v>
      </c>
      <c r="K717" s="75" t="s">
        <v>228</v>
      </c>
      <c r="L717" s="70">
        <v>0</v>
      </c>
    </row>
    <row r="718" spans="1:12" ht="15" customHeight="1">
      <c r="A718" s="53" t="s">
        <v>219</v>
      </c>
      <c r="B718" s="53" t="s">
        <v>131</v>
      </c>
      <c r="C718" s="54">
        <f t="shared" si="22"/>
        <v>42809.621529999997</v>
      </c>
      <c r="D718" s="54">
        <f t="shared" si="23"/>
        <v>42809.663196666668</v>
      </c>
      <c r="E718" s="63">
        <v>42809</v>
      </c>
      <c r="F718" s="61">
        <v>0.62153000000000003</v>
      </c>
      <c r="G718" s="63">
        <v>42809</v>
      </c>
      <c r="H718" s="61">
        <v>0.66319666666666666</v>
      </c>
      <c r="I718" s="55">
        <v>30</v>
      </c>
      <c r="J718" s="56" t="s">
        <v>232</v>
      </c>
      <c r="K718" s="75" t="s">
        <v>230</v>
      </c>
      <c r="L718" s="70">
        <v>0</v>
      </c>
    </row>
    <row r="719" spans="1:12" ht="15" customHeight="1">
      <c r="A719" s="53" t="s">
        <v>218</v>
      </c>
      <c r="B719" s="53" t="s">
        <v>132</v>
      </c>
      <c r="C719" s="54">
        <f t="shared" si="22"/>
        <v>42937.762710000003</v>
      </c>
      <c r="D719" s="54">
        <f t="shared" si="23"/>
        <v>42937.804376666667</v>
      </c>
      <c r="E719" s="63">
        <v>42937</v>
      </c>
      <c r="F719" s="61">
        <v>0.76271</v>
      </c>
      <c r="G719" s="63">
        <v>42937</v>
      </c>
      <c r="H719" s="61">
        <v>0.80437666666666663</v>
      </c>
      <c r="I719" s="55">
        <v>30</v>
      </c>
      <c r="J719" s="56" t="s">
        <v>229</v>
      </c>
      <c r="K719" s="75" t="s">
        <v>231</v>
      </c>
      <c r="L719" s="70">
        <v>0</v>
      </c>
    </row>
    <row r="720" spans="1:12" ht="15" customHeight="1">
      <c r="A720" s="53" t="s">
        <v>218</v>
      </c>
      <c r="B720" s="53" t="s">
        <v>133</v>
      </c>
      <c r="C720" s="54">
        <f t="shared" si="22"/>
        <v>43006.313840000003</v>
      </c>
      <c r="D720" s="54">
        <f t="shared" si="23"/>
        <v>43006.355506666667</v>
      </c>
      <c r="E720" s="63">
        <v>43006</v>
      </c>
      <c r="F720" s="61">
        <v>0.31384000000000001</v>
      </c>
      <c r="G720" s="63">
        <v>43006</v>
      </c>
      <c r="H720" s="61">
        <v>0.35550666666666669</v>
      </c>
      <c r="I720" s="55">
        <v>30</v>
      </c>
      <c r="J720" s="56" t="s">
        <v>229</v>
      </c>
      <c r="K720" s="75" t="s">
        <v>231</v>
      </c>
      <c r="L720" s="70">
        <v>0</v>
      </c>
    </row>
    <row r="721" spans="1:12" ht="15" customHeight="1">
      <c r="A721" s="53" t="s">
        <v>217</v>
      </c>
      <c r="B721" s="53" t="s">
        <v>134</v>
      </c>
      <c r="C721" s="54">
        <f t="shared" si="22"/>
        <v>42957.373729999999</v>
      </c>
      <c r="D721" s="54">
        <f t="shared" si="23"/>
        <v>42957.415396666664</v>
      </c>
      <c r="E721" s="63">
        <v>42957</v>
      </c>
      <c r="F721" s="61">
        <v>0.37373000000000001</v>
      </c>
      <c r="G721" s="63">
        <v>42957</v>
      </c>
      <c r="H721" s="61">
        <v>0.41539666666666669</v>
      </c>
      <c r="I721" s="55">
        <v>30</v>
      </c>
      <c r="J721" s="56" t="s">
        <v>232</v>
      </c>
      <c r="K721" s="75" t="s">
        <v>231</v>
      </c>
      <c r="L721" s="70">
        <v>0</v>
      </c>
    </row>
    <row r="722" spans="1:12" ht="15" customHeight="1">
      <c r="A722" s="53" t="s">
        <v>218</v>
      </c>
      <c r="B722" s="53" t="s">
        <v>135</v>
      </c>
      <c r="C722" s="54">
        <f t="shared" si="22"/>
        <v>43083.718990000001</v>
      </c>
      <c r="D722" s="54">
        <f t="shared" si="23"/>
        <v>43083.760656666665</v>
      </c>
      <c r="E722" s="63">
        <v>43083</v>
      </c>
      <c r="F722" s="61">
        <v>0.71899000000000002</v>
      </c>
      <c r="G722" s="63">
        <v>43083</v>
      </c>
      <c r="H722" s="61">
        <v>0.76065666666666665</v>
      </c>
      <c r="I722" s="55">
        <v>30</v>
      </c>
      <c r="J722" s="56" t="s">
        <v>227</v>
      </c>
      <c r="K722" s="75" t="s">
        <v>228</v>
      </c>
      <c r="L722" s="70">
        <v>0</v>
      </c>
    </row>
    <row r="723" spans="1:12" ht="15" customHeight="1">
      <c r="A723" s="53" t="s">
        <v>220</v>
      </c>
      <c r="B723" s="53" t="s">
        <v>136</v>
      </c>
      <c r="C723" s="54">
        <f t="shared" si="22"/>
        <v>42877.545109999999</v>
      </c>
      <c r="D723" s="54">
        <f t="shared" si="23"/>
        <v>42877.586776666663</v>
      </c>
      <c r="E723" s="63">
        <v>42877</v>
      </c>
      <c r="F723" s="61">
        <v>0.54510999999999998</v>
      </c>
      <c r="G723" s="63">
        <v>42877</v>
      </c>
      <c r="H723" s="61">
        <v>0.58677666666666661</v>
      </c>
      <c r="I723" s="55">
        <v>30</v>
      </c>
      <c r="J723" s="56" t="s">
        <v>227</v>
      </c>
      <c r="K723" s="75" t="s">
        <v>230</v>
      </c>
      <c r="L723" s="70">
        <v>0</v>
      </c>
    </row>
    <row r="724" spans="1:12" ht="15" customHeight="1">
      <c r="A724" s="53" t="s">
        <v>219</v>
      </c>
      <c r="B724" s="53" t="s">
        <v>137</v>
      </c>
      <c r="C724" s="54">
        <f t="shared" si="22"/>
        <v>43045.612260000002</v>
      </c>
      <c r="D724" s="54">
        <f t="shared" si="23"/>
        <v>43045.653926666666</v>
      </c>
      <c r="E724" s="63">
        <v>43045</v>
      </c>
      <c r="F724" s="61">
        <v>0.61226000000000003</v>
      </c>
      <c r="G724" s="63">
        <v>43045</v>
      </c>
      <c r="H724" s="61">
        <v>0.65392666666666666</v>
      </c>
      <c r="I724" s="55">
        <v>30</v>
      </c>
      <c r="J724" s="56" t="s">
        <v>227</v>
      </c>
      <c r="K724" s="75" t="s">
        <v>231</v>
      </c>
      <c r="L724" s="70">
        <v>0</v>
      </c>
    </row>
    <row r="725" spans="1:12" ht="15" customHeight="1">
      <c r="A725" s="53" t="s">
        <v>218</v>
      </c>
      <c r="B725" s="53" t="s">
        <v>138</v>
      </c>
      <c r="C725" s="54">
        <f t="shared" si="22"/>
        <v>42774.31482</v>
      </c>
      <c r="D725" s="54">
        <f t="shared" si="23"/>
        <v>42774.356486666664</v>
      </c>
      <c r="E725" s="63">
        <v>42774</v>
      </c>
      <c r="F725" s="61">
        <v>0.31481999999999999</v>
      </c>
      <c r="G725" s="63">
        <v>42774</v>
      </c>
      <c r="H725" s="61">
        <v>0.35648666666666667</v>
      </c>
      <c r="I725" s="55">
        <v>30</v>
      </c>
      <c r="J725" s="56" t="s">
        <v>229</v>
      </c>
      <c r="K725" s="75" t="s">
        <v>230</v>
      </c>
      <c r="L725" s="70">
        <v>0</v>
      </c>
    </row>
    <row r="726" spans="1:12" ht="15" customHeight="1">
      <c r="A726" s="53" t="s">
        <v>219</v>
      </c>
      <c r="B726" s="53" t="s">
        <v>139</v>
      </c>
      <c r="C726" s="54">
        <f t="shared" si="22"/>
        <v>42963.538789999999</v>
      </c>
      <c r="D726" s="54">
        <f t="shared" si="23"/>
        <v>42963.58045666667</v>
      </c>
      <c r="E726" s="63">
        <v>42963</v>
      </c>
      <c r="F726" s="61">
        <v>0.53878999999999999</v>
      </c>
      <c r="G726" s="63">
        <v>42963</v>
      </c>
      <c r="H726" s="61">
        <v>0.58045666666666662</v>
      </c>
      <c r="I726" s="55">
        <v>30</v>
      </c>
      <c r="J726" s="56" t="s">
        <v>229</v>
      </c>
      <c r="K726" s="75" t="s">
        <v>228</v>
      </c>
      <c r="L726" s="70">
        <v>0</v>
      </c>
    </row>
    <row r="727" spans="1:12" ht="15" customHeight="1">
      <c r="A727" s="53" t="s">
        <v>216</v>
      </c>
      <c r="B727" s="53" t="s">
        <v>140</v>
      </c>
      <c r="C727" s="54">
        <f t="shared" si="22"/>
        <v>42841.460420000003</v>
      </c>
      <c r="D727" s="54">
        <f t="shared" si="23"/>
        <v>42841.502086666667</v>
      </c>
      <c r="E727" s="63">
        <v>42841</v>
      </c>
      <c r="F727" s="61">
        <v>0.46042</v>
      </c>
      <c r="G727" s="63">
        <v>42841</v>
      </c>
      <c r="H727" s="61">
        <v>0.50208666666666668</v>
      </c>
      <c r="I727" s="55">
        <v>30</v>
      </c>
      <c r="J727" s="56" t="s">
        <v>232</v>
      </c>
      <c r="K727" s="75" t="s">
        <v>230</v>
      </c>
      <c r="L727" s="70">
        <v>0</v>
      </c>
    </row>
    <row r="728" spans="1:12" ht="15" customHeight="1">
      <c r="A728" s="53" t="s">
        <v>219</v>
      </c>
      <c r="B728" s="53" t="s">
        <v>141</v>
      </c>
      <c r="C728" s="54">
        <f t="shared" si="22"/>
        <v>43036.442660000001</v>
      </c>
      <c r="D728" s="54">
        <f t="shared" si="23"/>
        <v>43036.484326666665</v>
      </c>
      <c r="E728" s="63">
        <v>43036</v>
      </c>
      <c r="F728" s="61">
        <v>0.44266</v>
      </c>
      <c r="G728" s="63">
        <v>43036</v>
      </c>
      <c r="H728" s="61">
        <v>0.48432666666666668</v>
      </c>
      <c r="I728" s="55">
        <v>30</v>
      </c>
      <c r="J728" s="56" t="s">
        <v>229</v>
      </c>
      <c r="K728" s="75" t="s">
        <v>228</v>
      </c>
      <c r="L728" s="70">
        <v>0</v>
      </c>
    </row>
    <row r="729" spans="1:12" ht="15" customHeight="1">
      <c r="A729" s="53" t="s">
        <v>220</v>
      </c>
      <c r="B729" s="53" t="s">
        <v>142</v>
      </c>
      <c r="C729" s="54">
        <f t="shared" si="22"/>
        <v>42810.495510000001</v>
      </c>
      <c r="D729" s="54">
        <f t="shared" si="23"/>
        <v>42810.537176666665</v>
      </c>
      <c r="E729" s="63">
        <v>42810</v>
      </c>
      <c r="F729" s="61">
        <v>0.49551000000000001</v>
      </c>
      <c r="G729" s="63">
        <v>42810</v>
      </c>
      <c r="H729" s="61">
        <v>0.53717666666666664</v>
      </c>
      <c r="I729" s="55">
        <v>30</v>
      </c>
      <c r="J729" s="56" t="s">
        <v>227</v>
      </c>
      <c r="K729" s="75" t="s">
        <v>228</v>
      </c>
      <c r="L729" s="70">
        <v>0</v>
      </c>
    </row>
    <row r="730" spans="1:12" ht="15" customHeight="1">
      <c r="A730" s="53" t="s">
        <v>218</v>
      </c>
      <c r="B730" s="53" t="s">
        <v>143</v>
      </c>
      <c r="C730" s="54">
        <f t="shared" si="22"/>
        <v>42828.532850000003</v>
      </c>
      <c r="D730" s="54">
        <f t="shared" si="23"/>
        <v>42828.574516666667</v>
      </c>
      <c r="E730" s="63">
        <v>42828</v>
      </c>
      <c r="F730" s="61">
        <v>0.53285000000000005</v>
      </c>
      <c r="G730" s="63">
        <v>42828</v>
      </c>
      <c r="H730" s="61">
        <v>0.57451666666666668</v>
      </c>
      <c r="I730" s="55">
        <v>30</v>
      </c>
      <c r="J730" s="56" t="s">
        <v>229</v>
      </c>
      <c r="K730" s="75" t="s">
        <v>231</v>
      </c>
      <c r="L730" s="70">
        <v>0</v>
      </c>
    </row>
    <row r="731" spans="1:12" ht="15" customHeight="1">
      <c r="A731" s="53" t="s">
        <v>218</v>
      </c>
      <c r="B731" s="53" t="s">
        <v>144</v>
      </c>
      <c r="C731" s="54">
        <f t="shared" si="22"/>
        <v>42908.612760000004</v>
      </c>
      <c r="D731" s="54">
        <f t="shared" si="23"/>
        <v>42908.654426666668</v>
      </c>
      <c r="E731" s="63">
        <v>42908</v>
      </c>
      <c r="F731" s="61">
        <v>0.61275999999999997</v>
      </c>
      <c r="G731" s="63">
        <v>42908</v>
      </c>
      <c r="H731" s="61">
        <v>0.6544266666666666</v>
      </c>
      <c r="I731" s="55">
        <v>30</v>
      </c>
      <c r="J731" s="56" t="s">
        <v>229</v>
      </c>
      <c r="K731" s="75" t="s">
        <v>228</v>
      </c>
      <c r="L731" s="70">
        <v>0</v>
      </c>
    </row>
    <row r="732" spans="1:12" ht="15" customHeight="1">
      <c r="A732" s="53" t="s">
        <v>219</v>
      </c>
      <c r="B732" s="53" t="s">
        <v>145</v>
      </c>
      <c r="C732" s="54">
        <f t="shared" si="22"/>
        <v>42980.601759999998</v>
      </c>
      <c r="D732" s="54">
        <f t="shared" si="23"/>
        <v>42980.643426666669</v>
      </c>
      <c r="E732" s="63">
        <v>42980</v>
      </c>
      <c r="F732" s="61">
        <v>0.60175999999999996</v>
      </c>
      <c r="G732" s="63">
        <v>42980</v>
      </c>
      <c r="H732" s="61">
        <v>0.64342666666666659</v>
      </c>
      <c r="I732" s="55">
        <v>30</v>
      </c>
      <c r="J732" s="56" t="s">
        <v>232</v>
      </c>
      <c r="K732" s="75" t="s">
        <v>230</v>
      </c>
      <c r="L732" s="70">
        <v>0</v>
      </c>
    </row>
    <row r="733" spans="1:12" ht="15" customHeight="1">
      <c r="A733" s="53" t="s">
        <v>216</v>
      </c>
      <c r="B733" s="53" t="s">
        <v>146</v>
      </c>
      <c r="C733" s="54">
        <f t="shared" si="22"/>
        <v>43054.646200000003</v>
      </c>
      <c r="D733" s="54">
        <f t="shared" si="23"/>
        <v>43054.687866666667</v>
      </c>
      <c r="E733" s="63">
        <v>43054</v>
      </c>
      <c r="F733" s="61">
        <v>0.6462</v>
      </c>
      <c r="G733" s="63">
        <v>43054</v>
      </c>
      <c r="H733" s="61">
        <v>0.68786666666666663</v>
      </c>
      <c r="I733" s="55">
        <v>30</v>
      </c>
      <c r="J733" s="56" t="s">
        <v>232</v>
      </c>
      <c r="K733" s="75" t="s">
        <v>230</v>
      </c>
      <c r="L733" s="70">
        <v>0</v>
      </c>
    </row>
    <row r="734" spans="1:12" ht="15" customHeight="1">
      <c r="A734" s="53" t="s">
        <v>217</v>
      </c>
      <c r="B734" s="53" t="s">
        <v>147</v>
      </c>
      <c r="C734" s="54">
        <f t="shared" si="22"/>
        <v>43036.313849999999</v>
      </c>
      <c r="D734" s="54">
        <f t="shared" si="23"/>
        <v>43036.35551666667</v>
      </c>
      <c r="E734" s="63">
        <v>43036</v>
      </c>
      <c r="F734" s="61">
        <v>0.31385000000000002</v>
      </c>
      <c r="G734" s="63">
        <v>43036</v>
      </c>
      <c r="H734" s="61">
        <v>0.3555166666666667</v>
      </c>
      <c r="I734" s="55">
        <v>30</v>
      </c>
      <c r="J734" s="56" t="s">
        <v>229</v>
      </c>
      <c r="K734" s="75" t="s">
        <v>228</v>
      </c>
      <c r="L734" s="70">
        <v>0</v>
      </c>
    </row>
    <row r="735" spans="1:12" ht="15" customHeight="1">
      <c r="A735" s="53" t="s">
        <v>216</v>
      </c>
      <c r="B735" s="53" t="s">
        <v>148</v>
      </c>
      <c r="C735" s="54">
        <f t="shared" si="22"/>
        <v>42786.703020000001</v>
      </c>
      <c r="D735" s="54">
        <f t="shared" si="23"/>
        <v>42786.744686666665</v>
      </c>
      <c r="E735" s="63">
        <v>42786</v>
      </c>
      <c r="F735" s="61">
        <v>0.70301999999999998</v>
      </c>
      <c r="G735" s="63">
        <v>42786</v>
      </c>
      <c r="H735" s="61">
        <v>0.74468666666666661</v>
      </c>
      <c r="I735" s="55">
        <v>30</v>
      </c>
      <c r="J735" s="56" t="s">
        <v>229</v>
      </c>
      <c r="K735" s="75" t="s">
        <v>231</v>
      </c>
      <c r="L735" s="70">
        <v>0</v>
      </c>
    </row>
    <row r="736" spans="1:12" ht="15" customHeight="1">
      <c r="A736" s="53" t="s">
        <v>218</v>
      </c>
      <c r="B736" s="53" t="s">
        <v>149</v>
      </c>
      <c r="C736" s="54">
        <f t="shared" si="22"/>
        <v>42973.624060000002</v>
      </c>
      <c r="D736" s="54">
        <f t="shared" si="23"/>
        <v>42973.665726666666</v>
      </c>
      <c r="E736" s="63">
        <v>42973</v>
      </c>
      <c r="F736" s="61">
        <v>0.62405999999999995</v>
      </c>
      <c r="G736" s="63">
        <v>42973</v>
      </c>
      <c r="H736" s="61">
        <v>0.66572666666666658</v>
      </c>
      <c r="I736" s="55">
        <v>30</v>
      </c>
      <c r="J736" s="56" t="s">
        <v>229</v>
      </c>
      <c r="K736" s="75" t="s">
        <v>231</v>
      </c>
      <c r="L736" s="70">
        <v>0</v>
      </c>
    </row>
    <row r="737" spans="1:12" ht="15" customHeight="1">
      <c r="A737" s="53" t="s">
        <v>216</v>
      </c>
      <c r="B737" s="53" t="s">
        <v>150</v>
      </c>
      <c r="C737" s="54">
        <f t="shared" si="22"/>
        <v>42764.65135</v>
      </c>
      <c r="D737" s="54">
        <f t="shared" si="23"/>
        <v>42764.693016666664</v>
      </c>
      <c r="E737" s="63">
        <v>42764</v>
      </c>
      <c r="F737" s="61">
        <v>0.65134999999999998</v>
      </c>
      <c r="G737" s="63">
        <v>42764</v>
      </c>
      <c r="H737" s="61">
        <v>0.69301666666666661</v>
      </c>
      <c r="I737" s="55">
        <v>30</v>
      </c>
      <c r="J737" s="56" t="s">
        <v>229</v>
      </c>
      <c r="K737" s="75" t="s">
        <v>230</v>
      </c>
      <c r="L737" s="70">
        <v>0</v>
      </c>
    </row>
    <row r="738" spans="1:12" ht="15" customHeight="1">
      <c r="A738" s="53" t="s">
        <v>220</v>
      </c>
      <c r="B738" s="53" t="s">
        <v>151</v>
      </c>
      <c r="C738" s="54">
        <f t="shared" si="22"/>
        <v>43049.351110000003</v>
      </c>
      <c r="D738" s="54">
        <f t="shared" si="23"/>
        <v>43049.392776666667</v>
      </c>
      <c r="E738" s="63">
        <v>43049</v>
      </c>
      <c r="F738" s="61">
        <v>0.35110999999999998</v>
      </c>
      <c r="G738" s="63">
        <v>43049</v>
      </c>
      <c r="H738" s="61">
        <v>0.39277666666666666</v>
      </c>
      <c r="I738" s="55">
        <v>30</v>
      </c>
      <c r="J738" s="56" t="s">
        <v>232</v>
      </c>
      <c r="K738" s="75" t="s">
        <v>228</v>
      </c>
      <c r="L738" s="70">
        <v>0</v>
      </c>
    </row>
    <row r="739" spans="1:12" ht="15" customHeight="1">
      <c r="A739" s="53" t="s">
        <v>216</v>
      </c>
      <c r="B739" s="53" t="s">
        <v>152</v>
      </c>
      <c r="C739" s="54">
        <f t="shared" si="22"/>
        <v>43008.499759999999</v>
      </c>
      <c r="D739" s="54">
        <f t="shared" si="23"/>
        <v>43008.541426666663</v>
      </c>
      <c r="E739" s="63">
        <v>43008</v>
      </c>
      <c r="F739" s="61">
        <v>0.49975999999999998</v>
      </c>
      <c r="G739" s="63">
        <v>43008</v>
      </c>
      <c r="H739" s="61">
        <v>0.54142666666666661</v>
      </c>
      <c r="I739" s="55">
        <v>30</v>
      </c>
      <c r="J739" s="56" t="s">
        <v>229</v>
      </c>
      <c r="K739" s="75" t="s">
        <v>228</v>
      </c>
      <c r="L739" s="70">
        <v>0</v>
      </c>
    </row>
    <row r="740" spans="1:12" ht="15" customHeight="1">
      <c r="A740" s="53" t="s">
        <v>217</v>
      </c>
      <c r="B740" s="53" t="s">
        <v>153</v>
      </c>
      <c r="C740" s="54">
        <f t="shared" si="22"/>
        <v>42878.477189999998</v>
      </c>
      <c r="D740" s="54">
        <f t="shared" si="23"/>
        <v>42878.518856666669</v>
      </c>
      <c r="E740" s="63">
        <v>42878</v>
      </c>
      <c r="F740" s="61">
        <v>0.47719</v>
      </c>
      <c r="G740" s="63">
        <v>42878</v>
      </c>
      <c r="H740" s="61">
        <v>0.51885666666666663</v>
      </c>
      <c r="I740" s="55">
        <v>30</v>
      </c>
      <c r="J740" s="56" t="s">
        <v>232</v>
      </c>
      <c r="K740" s="75" t="s">
        <v>228</v>
      </c>
      <c r="L740" s="70">
        <v>0</v>
      </c>
    </row>
    <row r="741" spans="1:12" ht="15" customHeight="1">
      <c r="A741" s="53" t="s">
        <v>219</v>
      </c>
      <c r="B741" s="53" t="s">
        <v>154</v>
      </c>
      <c r="C741" s="54">
        <f t="shared" si="22"/>
        <v>42785.724190000001</v>
      </c>
      <c r="D741" s="54">
        <f t="shared" si="23"/>
        <v>42785.765856666665</v>
      </c>
      <c r="E741" s="63">
        <v>42785</v>
      </c>
      <c r="F741" s="61">
        <v>0.72419</v>
      </c>
      <c r="G741" s="63">
        <v>42785</v>
      </c>
      <c r="H741" s="61">
        <v>0.76585666666666663</v>
      </c>
      <c r="I741" s="55">
        <v>30</v>
      </c>
      <c r="J741" s="56" t="s">
        <v>227</v>
      </c>
      <c r="K741" s="75" t="s">
        <v>228</v>
      </c>
      <c r="L741" s="70">
        <v>0</v>
      </c>
    </row>
    <row r="742" spans="1:12" ht="15" customHeight="1">
      <c r="A742" s="53" t="s">
        <v>219</v>
      </c>
      <c r="B742" s="53" t="s">
        <v>155</v>
      </c>
      <c r="C742" s="54">
        <f t="shared" si="22"/>
        <v>42878.713329999999</v>
      </c>
      <c r="D742" s="54">
        <f t="shared" si="23"/>
        <v>42878.75499666667</v>
      </c>
      <c r="E742" s="63">
        <v>42878</v>
      </c>
      <c r="F742" s="61">
        <v>0.71333000000000002</v>
      </c>
      <c r="G742" s="63">
        <v>42878</v>
      </c>
      <c r="H742" s="61">
        <v>0.75499666666666665</v>
      </c>
      <c r="I742" s="55">
        <v>30</v>
      </c>
      <c r="J742" s="56" t="s">
        <v>229</v>
      </c>
      <c r="K742" s="75" t="s">
        <v>231</v>
      </c>
      <c r="L742" s="70">
        <v>0</v>
      </c>
    </row>
    <row r="743" spans="1:12" ht="15" customHeight="1">
      <c r="A743" s="53" t="s">
        <v>216</v>
      </c>
      <c r="B743" s="53" t="s">
        <v>156</v>
      </c>
      <c r="C743" s="54">
        <f t="shared" si="22"/>
        <v>43080.625950000001</v>
      </c>
      <c r="D743" s="54">
        <f t="shared" si="23"/>
        <v>43080.667616666666</v>
      </c>
      <c r="E743" s="63">
        <v>43080</v>
      </c>
      <c r="F743" s="61">
        <v>0.62595000000000001</v>
      </c>
      <c r="G743" s="63">
        <v>43080</v>
      </c>
      <c r="H743" s="61">
        <v>0.66761666666666664</v>
      </c>
      <c r="I743" s="55">
        <v>30</v>
      </c>
      <c r="J743" s="56" t="s">
        <v>229</v>
      </c>
      <c r="K743" s="75" t="s">
        <v>231</v>
      </c>
      <c r="L743" s="70">
        <v>0</v>
      </c>
    </row>
    <row r="744" spans="1:12" ht="15" customHeight="1">
      <c r="A744" s="53" t="s">
        <v>220</v>
      </c>
      <c r="B744" s="53" t="s">
        <v>157</v>
      </c>
      <c r="C744" s="54">
        <f t="shared" si="22"/>
        <v>42905.406560000003</v>
      </c>
      <c r="D744" s="54">
        <f t="shared" si="23"/>
        <v>42905.448226666667</v>
      </c>
      <c r="E744" s="63">
        <v>42905</v>
      </c>
      <c r="F744" s="61">
        <v>0.40655999999999998</v>
      </c>
      <c r="G744" s="63">
        <v>42905</v>
      </c>
      <c r="H744" s="61">
        <v>0.44822666666666666</v>
      </c>
      <c r="I744" s="55">
        <v>30</v>
      </c>
      <c r="J744" s="56" t="s">
        <v>227</v>
      </c>
      <c r="K744" s="75" t="s">
        <v>230</v>
      </c>
      <c r="L744" s="70">
        <v>0</v>
      </c>
    </row>
    <row r="745" spans="1:12" ht="15" customHeight="1">
      <c r="A745" s="53" t="s">
        <v>218</v>
      </c>
      <c r="B745" s="53" t="s">
        <v>158</v>
      </c>
      <c r="C745" s="54">
        <f t="shared" si="22"/>
        <v>42825.464390000001</v>
      </c>
      <c r="D745" s="54">
        <f t="shared" si="23"/>
        <v>42825.506056666665</v>
      </c>
      <c r="E745" s="63">
        <v>42825</v>
      </c>
      <c r="F745" s="61">
        <v>0.46439000000000002</v>
      </c>
      <c r="G745" s="63">
        <v>42825</v>
      </c>
      <c r="H745" s="61">
        <v>0.50605666666666671</v>
      </c>
      <c r="I745" s="55">
        <v>30</v>
      </c>
      <c r="J745" s="56" t="s">
        <v>227</v>
      </c>
      <c r="K745" s="75" t="s">
        <v>228</v>
      </c>
      <c r="L745" s="70">
        <v>0</v>
      </c>
    </row>
    <row r="746" spans="1:12" ht="15" customHeight="1">
      <c r="A746" s="53" t="s">
        <v>218</v>
      </c>
      <c r="B746" s="53" t="s">
        <v>159</v>
      </c>
      <c r="C746" s="54">
        <f t="shared" si="22"/>
        <v>42876.769379999998</v>
      </c>
      <c r="D746" s="54">
        <f t="shared" si="23"/>
        <v>42876.811046666669</v>
      </c>
      <c r="E746" s="63">
        <v>42876</v>
      </c>
      <c r="F746" s="61">
        <v>0.76937999999999995</v>
      </c>
      <c r="G746" s="63">
        <v>42876</v>
      </c>
      <c r="H746" s="61">
        <v>0.81104666666666658</v>
      </c>
      <c r="I746" s="55">
        <v>30</v>
      </c>
      <c r="J746" s="56" t="s">
        <v>232</v>
      </c>
      <c r="K746" s="75" t="s">
        <v>231</v>
      </c>
      <c r="L746" s="70">
        <v>0</v>
      </c>
    </row>
    <row r="747" spans="1:12" ht="15" customHeight="1">
      <c r="A747" s="53" t="s">
        <v>219</v>
      </c>
      <c r="B747" s="53" t="s">
        <v>160</v>
      </c>
      <c r="C747" s="54">
        <f t="shared" si="22"/>
        <v>42753.739000000001</v>
      </c>
      <c r="D747" s="54">
        <f t="shared" si="23"/>
        <v>42753.780666666666</v>
      </c>
      <c r="E747" s="63">
        <v>42753</v>
      </c>
      <c r="F747" s="61">
        <v>0.73899999999999999</v>
      </c>
      <c r="G747" s="63">
        <v>42753</v>
      </c>
      <c r="H747" s="61">
        <v>0.78066666666666662</v>
      </c>
      <c r="I747" s="55">
        <v>30</v>
      </c>
      <c r="J747" s="56" t="s">
        <v>229</v>
      </c>
      <c r="K747" s="75" t="s">
        <v>228</v>
      </c>
      <c r="L747" s="70">
        <v>0</v>
      </c>
    </row>
    <row r="748" spans="1:12" ht="15" customHeight="1">
      <c r="A748" s="53" t="s">
        <v>220</v>
      </c>
      <c r="B748" s="53" t="s">
        <v>161</v>
      </c>
      <c r="C748" s="54">
        <f t="shared" si="22"/>
        <v>42895.766649999998</v>
      </c>
      <c r="D748" s="54">
        <f t="shared" si="23"/>
        <v>42895.808316666669</v>
      </c>
      <c r="E748" s="63">
        <v>42895</v>
      </c>
      <c r="F748" s="61">
        <v>0.76665000000000005</v>
      </c>
      <c r="G748" s="63">
        <v>42895</v>
      </c>
      <c r="H748" s="61">
        <v>0.80831666666666668</v>
      </c>
      <c r="I748" s="55">
        <v>30</v>
      </c>
      <c r="J748" s="56" t="s">
        <v>232</v>
      </c>
      <c r="K748" s="75" t="s">
        <v>228</v>
      </c>
      <c r="L748" s="70">
        <v>0</v>
      </c>
    </row>
    <row r="749" spans="1:12" ht="15" customHeight="1">
      <c r="A749" s="53" t="s">
        <v>217</v>
      </c>
      <c r="B749" s="53" t="s">
        <v>162</v>
      </c>
      <c r="C749" s="54">
        <f t="shared" si="22"/>
        <v>42978.671340000001</v>
      </c>
      <c r="D749" s="54">
        <f t="shared" si="23"/>
        <v>42978.713006666665</v>
      </c>
      <c r="E749" s="63">
        <v>42978</v>
      </c>
      <c r="F749" s="61">
        <v>0.67134000000000005</v>
      </c>
      <c r="G749" s="63">
        <v>42978</v>
      </c>
      <c r="H749" s="61">
        <v>0.71300666666666668</v>
      </c>
      <c r="I749" s="55">
        <v>30</v>
      </c>
      <c r="J749" s="56" t="s">
        <v>229</v>
      </c>
      <c r="K749" s="75" t="s">
        <v>228</v>
      </c>
      <c r="L749" s="70">
        <v>0</v>
      </c>
    </row>
    <row r="750" spans="1:12" ht="15" customHeight="1">
      <c r="A750" s="53" t="s">
        <v>217</v>
      </c>
      <c r="B750" s="53" t="s">
        <v>163</v>
      </c>
      <c r="C750" s="54">
        <f t="shared" si="22"/>
        <v>43022.608500000002</v>
      </c>
      <c r="D750" s="54">
        <f t="shared" si="23"/>
        <v>43022.650166666666</v>
      </c>
      <c r="E750" s="63">
        <v>43022</v>
      </c>
      <c r="F750" s="61">
        <v>0.60850000000000004</v>
      </c>
      <c r="G750" s="63">
        <v>43022</v>
      </c>
      <c r="H750" s="61">
        <v>0.65016666666666667</v>
      </c>
      <c r="I750" s="55">
        <v>30</v>
      </c>
      <c r="J750" s="56" t="s">
        <v>227</v>
      </c>
      <c r="K750" s="75" t="s">
        <v>230</v>
      </c>
      <c r="L750" s="70">
        <v>0</v>
      </c>
    </row>
    <row r="751" spans="1:12" ht="15" customHeight="1">
      <c r="A751" s="53" t="s">
        <v>220</v>
      </c>
      <c r="B751" s="53" t="s">
        <v>164</v>
      </c>
      <c r="C751" s="54">
        <f t="shared" si="22"/>
        <v>42750.707540000003</v>
      </c>
      <c r="D751" s="54">
        <f t="shared" si="23"/>
        <v>42750.749206666667</v>
      </c>
      <c r="E751" s="63">
        <v>42750</v>
      </c>
      <c r="F751" s="61">
        <v>0.70753999999999995</v>
      </c>
      <c r="G751" s="63">
        <v>42750</v>
      </c>
      <c r="H751" s="61">
        <v>0.74920666666666658</v>
      </c>
      <c r="I751" s="55">
        <v>30</v>
      </c>
      <c r="J751" s="56" t="s">
        <v>229</v>
      </c>
      <c r="K751" s="75" t="s">
        <v>230</v>
      </c>
      <c r="L751" s="70">
        <v>0</v>
      </c>
    </row>
    <row r="752" spans="1:12" ht="15" customHeight="1">
      <c r="A752" s="53" t="s">
        <v>216</v>
      </c>
      <c r="B752" s="53" t="s">
        <v>165</v>
      </c>
      <c r="C752" s="54">
        <f t="shared" si="22"/>
        <v>43015.464979999997</v>
      </c>
      <c r="D752" s="54">
        <f t="shared" si="23"/>
        <v>43015.506646666669</v>
      </c>
      <c r="E752" s="63">
        <v>43015</v>
      </c>
      <c r="F752" s="61">
        <v>0.46498</v>
      </c>
      <c r="G752" s="63">
        <v>43015</v>
      </c>
      <c r="H752" s="61">
        <v>0.50664666666666669</v>
      </c>
      <c r="I752" s="55">
        <v>30</v>
      </c>
      <c r="J752" s="56" t="s">
        <v>229</v>
      </c>
      <c r="K752" s="75" t="s">
        <v>228</v>
      </c>
      <c r="L752" s="70">
        <v>0</v>
      </c>
    </row>
    <row r="753" spans="1:12" ht="15" customHeight="1">
      <c r="A753" s="53" t="s">
        <v>220</v>
      </c>
      <c r="B753" s="53" t="s">
        <v>166</v>
      </c>
      <c r="C753" s="54">
        <f t="shared" si="22"/>
        <v>43050.502289999997</v>
      </c>
      <c r="D753" s="54">
        <f t="shared" si="23"/>
        <v>43050.543956666668</v>
      </c>
      <c r="E753" s="63">
        <v>43050</v>
      </c>
      <c r="F753" s="61">
        <v>0.50229000000000001</v>
      </c>
      <c r="G753" s="63">
        <v>43050</v>
      </c>
      <c r="H753" s="61">
        <v>0.54395666666666664</v>
      </c>
      <c r="I753" s="55">
        <v>30</v>
      </c>
      <c r="J753" s="56" t="s">
        <v>232</v>
      </c>
      <c r="K753" s="75" t="s">
        <v>230</v>
      </c>
      <c r="L753" s="70">
        <v>0</v>
      </c>
    </row>
    <row r="754" spans="1:12" ht="15" customHeight="1">
      <c r="A754" s="53" t="s">
        <v>220</v>
      </c>
      <c r="B754" s="53" t="s">
        <v>167</v>
      </c>
      <c r="C754" s="54">
        <f t="shared" si="22"/>
        <v>42867.58109</v>
      </c>
      <c r="D754" s="54">
        <f t="shared" si="23"/>
        <v>42867.622756666664</v>
      </c>
      <c r="E754" s="63">
        <v>42867</v>
      </c>
      <c r="F754" s="61">
        <v>0.58109</v>
      </c>
      <c r="G754" s="63">
        <v>42867</v>
      </c>
      <c r="H754" s="61">
        <v>0.62275666666666663</v>
      </c>
      <c r="I754" s="55">
        <v>30</v>
      </c>
      <c r="J754" s="56" t="s">
        <v>229</v>
      </c>
      <c r="K754" s="75" t="s">
        <v>230</v>
      </c>
      <c r="L754" s="70">
        <v>0</v>
      </c>
    </row>
    <row r="755" spans="1:12" ht="15" customHeight="1">
      <c r="A755" s="53" t="s">
        <v>220</v>
      </c>
      <c r="B755" s="53" t="s">
        <v>168</v>
      </c>
      <c r="C755" s="54">
        <f t="shared" si="22"/>
        <v>42895.342850000001</v>
      </c>
      <c r="D755" s="54">
        <f t="shared" si="23"/>
        <v>42895.384516666665</v>
      </c>
      <c r="E755" s="63">
        <v>42895</v>
      </c>
      <c r="F755" s="61">
        <v>0.34284999999999999</v>
      </c>
      <c r="G755" s="63">
        <v>42895</v>
      </c>
      <c r="H755" s="61">
        <v>0.38451666666666667</v>
      </c>
      <c r="I755" s="55">
        <v>30</v>
      </c>
      <c r="J755" s="56" t="s">
        <v>229</v>
      </c>
      <c r="K755" s="75" t="s">
        <v>231</v>
      </c>
      <c r="L755" s="70">
        <v>0</v>
      </c>
    </row>
    <row r="756" spans="1:12" ht="15" customHeight="1">
      <c r="A756" s="53" t="s">
        <v>216</v>
      </c>
      <c r="B756" s="53" t="s">
        <v>169</v>
      </c>
      <c r="C756" s="54">
        <f t="shared" si="22"/>
        <v>43098.738340000004</v>
      </c>
      <c r="D756" s="54">
        <f t="shared" si="23"/>
        <v>43098.780006666668</v>
      </c>
      <c r="E756" s="63">
        <v>43098</v>
      </c>
      <c r="F756" s="61">
        <v>0.73834</v>
      </c>
      <c r="G756" s="63">
        <v>43098</v>
      </c>
      <c r="H756" s="61">
        <v>0.78000666666666663</v>
      </c>
      <c r="I756" s="55">
        <v>30</v>
      </c>
      <c r="J756" s="56" t="s">
        <v>232</v>
      </c>
      <c r="K756" s="75" t="s">
        <v>230</v>
      </c>
      <c r="L756" s="70">
        <v>0</v>
      </c>
    </row>
    <row r="757" spans="1:12" ht="15" customHeight="1">
      <c r="A757" s="53" t="s">
        <v>218</v>
      </c>
      <c r="B757" s="53" t="s">
        <v>170</v>
      </c>
      <c r="C757" s="54">
        <f t="shared" si="22"/>
        <v>43097.46067</v>
      </c>
      <c r="D757" s="54">
        <f t="shared" si="23"/>
        <v>43097.502336666665</v>
      </c>
      <c r="E757" s="63">
        <v>43097</v>
      </c>
      <c r="F757" s="61">
        <v>0.46067000000000002</v>
      </c>
      <c r="G757" s="63">
        <v>43097</v>
      </c>
      <c r="H757" s="61">
        <v>0.50233666666666665</v>
      </c>
      <c r="I757" s="55">
        <v>30</v>
      </c>
      <c r="J757" s="56" t="s">
        <v>227</v>
      </c>
      <c r="K757" s="75" t="s">
        <v>231</v>
      </c>
      <c r="L757" s="70">
        <v>0</v>
      </c>
    </row>
    <row r="758" spans="1:12" ht="15" customHeight="1">
      <c r="A758" s="53" t="s">
        <v>220</v>
      </c>
      <c r="B758" s="57" t="s">
        <v>171</v>
      </c>
      <c r="C758" s="54">
        <f t="shared" si="22"/>
        <v>42901.420059999997</v>
      </c>
      <c r="D758" s="54">
        <f t="shared" si="23"/>
        <v>42901.461726666668</v>
      </c>
      <c r="E758" s="63">
        <v>42901</v>
      </c>
      <c r="F758" s="61">
        <v>0.42005999999999999</v>
      </c>
      <c r="G758" s="63">
        <v>42901</v>
      </c>
      <c r="H758" s="61">
        <v>0.46172666666666667</v>
      </c>
      <c r="I758" s="55">
        <v>30</v>
      </c>
      <c r="J758" s="56" t="s">
        <v>229</v>
      </c>
      <c r="K758" s="75" t="s">
        <v>228</v>
      </c>
      <c r="L758" s="70">
        <v>0</v>
      </c>
    </row>
    <row r="759" spans="1:12" ht="15" customHeight="1">
      <c r="A759" s="53" t="s">
        <v>219</v>
      </c>
      <c r="B759" s="53" t="s">
        <v>172</v>
      </c>
      <c r="C759" s="54">
        <f t="shared" si="22"/>
        <v>42831.657679999997</v>
      </c>
      <c r="D759" s="54">
        <f t="shared" si="23"/>
        <v>42831.699346666668</v>
      </c>
      <c r="E759" s="63">
        <v>42831</v>
      </c>
      <c r="F759" s="61">
        <v>0.65768000000000004</v>
      </c>
      <c r="G759" s="63">
        <v>42831</v>
      </c>
      <c r="H759" s="61">
        <v>0.69934666666666667</v>
      </c>
      <c r="I759" s="55">
        <v>30</v>
      </c>
      <c r="J759" s="56" t="s">
        <v>229</v>
      </c>
      <c r="K759" s="75" t="s">
        <v>230</v>
      </c>
      <c r="L759" s="70">
        <v>0</v>
      </c>
    </row>
    <row r="760" spans="1:12" ht="15" customHeight="1">
      <c r="A760" s="53" t="s">
        <v>216</v>
      </c>
      <c r="B760" s="53" t="s">
        <v>173</v>
      </c>
      <c r="C760" s="54">
        <f t="shared" si="22"/>
        <v>42924.46228</v>
      </c>
      <c r="D760" s="54">
        <f t="shared" si="23"/>
        <v>42924.503946666664</v>
      </c>
      <c r="E760" s="63">
        <v>42924</v>
      </c>
      <c r="F760" s="61">
        <v>0.46228000000000002</v>
      </c>
      <c r="G760" s="63">
        <v>42924</v>
      </c>
      <c r="H760" s="61">
        <v>0.50394666666666665</v>
      </c>
      <c r="I760" s="55">
        <v>30</v>
      </c>
      <c r="J760" s="56" t="s">
        <v>229</v>
      </c>
      <c r="K760" s="75" t="s">
        <v>230</v>
      </c>
      <c r="L760" s="70">
        <v>0</v>
      </c>
    </row>
    <row r="761" spans="1:12" ht="15" customHeight="1">
      <c r="A761" s="53" t="s">
        <v>220</v>
      </c>
      <c r="B761" s="53" t="s">
        <v>174</v>
      </c>
      <c r="C761" s="54">
        <f t="shared" si="22"/>
        <v>42996.321239999997</v>
      </c>
      <c r="D761" s="54">
        <f t="shared" si="23"/>
        <v>42996.362906666669</v>
      </c>
      <c r="E761" s="63">
        <v>42996</v>
      </c>
      <c r="F761" s="61">
        <v>0.32124000000000003</v>
      </c>
      <c r="G761" s="63">
        <v>42996</v>
      </c>
      <c r="H761" s="61">
        <v>0.36290666666666671</v>
      </c>
      <c r="I761" s="55">
        <v>30</v>
      </c>
      <c r="J761" s="56" t="s">
        <v>229</v>
      </c>
      <c r="K761" s="75" t="s">
        <v>230</v>
      </c>
      <c r="L761" s="70">
        <v>0</v>
      </c>
    </row>
    <row r="762" spans="1:12" ht="15" customHeight="1">
      <c r="A762" s="53" t="s">
        <v>218</v>
      </c>
      <c r="B762" s="53" t="s">
        <v>175</v>
      </c>
      <c r="C762" s="54">
        <f t="shared" si="22"/>
        <v>42976.72726</v>
      </c>
      <c r="D762" s="54">
        <f t="shared" si="23"/>
        <v>42976.768926666664</v>
      </c>
      <c r="E762" s="63">
        <v>42976</v>
      </c>
      <c r="F762" s="61">
        <v>0.72726000000000002</v>
      </c>
      <c r="G762" s="63">
        <v>42976</v>
      </c>
      <c r="H762" s="61">
        <v>0.76892666666666665</v>
      </c>
      <c r="I762" s="55">
        <v>30</v>
      </c>
      <c r="J762" s="56" t="s">
        <v>229</v>
      </c>
      <c r="K762" s="75" t="s">
        <v>228</v>
      </c>
      <c r="L762" s="70">
        <v>0</v>
      </c>
    </row>
    <row r="763" spans="1:12" ht="15" customHeight="1">
      <c r="A763" s="53" t="s">
        <v>220</v>
      </c>
      <c r="B763" s="53" t="s">
        <v>176</v>
      </c>
      <c r="C763" s="54">
        <f t="shared" si="22"/>
        <v>43044.612829999998</v>
      </c>
      <c r="D763" s="54">
        <f t="shared" si="23"/>
        <v>43044.65449666667</v>
      </c>
      <c r="E763" s="63">
        <v>43044</v>
      </c>
      <c r="F763" s="61">
        <v>0.61282999999999999</v>
      </c>
      <c r="G763" s="63">
        <v>43044</v>
      </c>
      <c r="H763" s="61">
        <v>0.65449666666666662</v>
      </c>
      <c r="I763" s="55">
        <v>30</v>
      </c>
      <c r="J763" s="56" t="s">
        <v>227</v>
      </c>
      <c r="K763" s="75" t="s">
        <v>231</v>
      </c>
      <c r="L763" s="70">
        <v>0</v>
      </c>
    </row>
    <row r="764" spans="1:12" ht="15" customHeight="1">
      <c r="A764" s="53" t="s">
        <v>217</v>
      </c>
      <c r="B764" s="53" t="s">
        <v>177</v>
      </c>
      <c r="C764" s="54">
        <f t="shared" si="22"/>
        <v>42855.60656</v>
      </c>
      <c r="D764" s="54">
        <f t="shared" si="23"/>
        <v>42855.648226666664</v>
      </c>
      <c r="E764" s="63">
        <v>42855</v>
      </c>
      <c r="F764" s="61">
        <v>0.60655999999999999</v>
      </c>
      <c r="G764" s="63">
        <v>42855</v>
      </c>
      <c r="H764" s="61">
        <v>0.64822666666666662</v>
      </c>
      <c r="I764" s="55">
        <v>30</v>
      </c>
      <c r="J764" s="56" t="s">
        <v>227</v>
      </c>
      <c r="K764" s="75" t="s">
        <v>231</v>
      </c>
      <c r="L764" s="70">
        <v>0</v>
      </c>
    </row>
    <row r="765" spans="1:12" ht="15" customHeight="1">
      <c r="A765" s="53" t="s">
        <v>219</v>
      </c>
      <c r="B765" s="53" t="s">
        <v>178</v>
      </c>
      <c r="C765" s="54">
        <f t="shared" si="22"/>
        <v>43027.562890000001</v>
      </c>
      <c r="D765" s="54">
        <f t="shared" si="23"/>
        <v>43027.604556666665</v>
      </c>
      <c r="E765" s="63">
        <v>43027</v>
      </c>
      <c r="F765" s="61">
        <v>0.56289</v>
      </c>
      <c r="G765" s="63">
        <v>43027</v>
      </c>
      <c r="H765" s="61">
        <v>0.60455666666666663</v>
      </c>
      <c r="I765" s="55">
        <v>30</v>
      </c>
      <c r="J765" s="56" t="s">
        <v>227</v>
      </c>
      <c r="K765" s="75" t="s">
        <v>228</v>
      </c>
      <c r="L765" s="70">
        <v>0</v>
      </c>
    </row>
    <row r="766" spans="1:12" ht="15" customHeight="1">
      <c r="A766" s="53" t="s">
        <v>216</v>
      </c>
      <c r="B766" s="53" t="s">
        <v>179</v>
      </c>
      <c r="C766" s="54">
        <f t="shared" si="22"/>
        <v>43033.631329999997</v>
      </c>
      <c r="D766" s="54">
        <f t="shared" si="23"/>
        <v>43033.672996666668</v>
      </c>
      <c r="E766" s="63">
        <v>43033</v>
      </c>
      <c r="F766" s="61">
        <v>0.63132999999999995</v>
      </c>
      <c r="G766" s="63">
        <v>43033</v>
      </c>
      <c r="H766" s="61">
        <v>0.67299666666666658</v>
      </c>
      <c r="I766" s="55">
        <v>30</v>
      </c>
      <c r="J766" s="56" t="s">
        <v>232</v>
      </c>
      <c r="K766" s="75" t="s">
        <v>230</v>
      </c>
      <c r="L766" s="70">
        <v>0</v>
      </c>
    </row>
    <row r="767" spans="1:12" ht="15" customHeight="1">
      <c r="A767" s="53" t="s">
        <v>220</v>
      </c>
      <c r="B767" s="53" t="s">
        <v>180</v>
      </c>
      <c r="C767" s="54">
        <f t="shared" si="22"/>
        <v>43096.445699999997</v>
      </c>
      <c r="D767" s="54">
        <f t="shared" si="23"/>
        <v>43096.487366666668</v>
      </c>
      <c r="E767" s="63">
        <v>43096</v>
      </c>
      <c r="F767" s="61">
        <v>0.44569999999999999</v>
      </c>
      <c r="G767" s="63">
        <v>43096</v>
      </c>
      <c r="H767" s="61">
        <v>0.48736666666666667</v>
      </c>
      <c r="I767" s="55">
        <v>30</v>
      </c>
      <c r="J767" s="56" t="s">
        <v>232</v>
      </c>
      <c r="K767" s="75" t="s">
        <v>231</v>
      </c>
      <c r="L767" s="70">
        <v>0</v>
      </c>
    </row>
    <row r="768" spans="1:12" ht="15" customHeight="1">
      <c r="A768" s="53" t="s">
        <v>219</v>
      </c>
      <c r="B768" s="53" t="s">
        <v>181</v>
      </c>
      <c r="C768" s="54">
        <f t="shared" si="22"/>
        <v>42936.619149999999</v>
      </c>
      <c r="D768" s="54">
        <f t="shared" si="23"/>
        <v>42936.66081666667</v>
      </c>
      <c r="E768" s="63">
        <v>42936</v>
      </c>
      <c r="F768" s="61">
        <v>0.61914999999999998</v>
      </c>
      <c r="G768" s="63">
        <v>42936</v>
      </c>
      <c r="H768" s="61">
        <v>0.66081666666666661</v>
      </c>
      <c r="I768" s="55">
        <v>30</v>
      </c>
      <c r="J768" s="56" t="s">
        <v>229</v>
      </c>
      <c r="K768" s="75" t="s">
        <v>228</v>
      </c>
      <c r="L768" s="70">
        <v>0</v>
      </c>
    </row>
    <row r="769" spans="1:12" ht="15" customHeight="1">
      <c r="A769" s="53" t="s">
        <v>217</v>
      </c>
      <c r="B769" s="53" t="s">
        <v>182</v>
      </c>
      <c r="C769" s="54">
        <f t="shared" si="22"/>
        <v>43057.497580000003</v>
      </c>
      <c r="D769" s="54">
        <f t="shared" si="23"/>
        <v>43057.539246666667</v>
      </c>
      <c r="E769" s="63">
        <v>43057</v>
      </c>
      <c r="F769" s="61">
        <v>0.49758000000000002</v>
      </c>
      <c r="G769" s="63">
        <v>43057</v>
      </c>
      <c r="H769" s="61">
        <v>0.53924666666666665</v>
      </c>
      <c r="I769" s="55">
        <v>30</v>
      </c>
      <c r="J769" s="56" t="s">
        <v>232</v>
      </c>
      <c r="K769" s="75" t="s">
        <v>231</v>
      </c>
      <c r="L769" s="70">
        <v>0</v>
      </c>
    </row>
    <row r="770" spans="1:12" ht="15" customHeight="1">
      <c r="A770" s="53" t="s">
        <v>218</v>
      </c>
      <c r="B770" s="53" t="s">
        <v>183</v>
      </c>
      <c r="C770" s="54">
        <f t="shared" si="22"/>
        <v>42844.716529999998</v>
      </c>
      <c r="D770" s="54">
        <f t="shared" si="23"/>
        <v>42844.758196666669</v>
      </c>
      <c r="E770" s="63">
        <v>42844</v>
      </c>
      <c r="F770" s="61">
        <v>0.71653</v>
      </c>
      <c r="G770" s="63">
        <v>42844</v>
      </c>
      <c r="H770" s="61">
        <v>0.75819666666666663</v>
      </c>
      <c r="I770" s="55">
        <v>30</v>
      </c>
      <c r="J770" s="56" t="s">
        <v>232</v>
      </c>
      <c r="K770" s="75" t="s">
        <v>231</v>
      </c>
      <c r="L770" s="70">
        <v>0</v>
      </c>
    </row>
    <row r="771" spans="1:12" ht="15" customHeight="1">
      <c r="A771" s="53" t="s">
        <v>216</v>
      </c>
      <c r="B771" s="53" t="s">
        <v>184</v>
      </c>
      <c r="C771" s="54">
        <f t="shared" ref="C771:C834" si="24">E771+F771</f>
        <v>42780.671029999998</v>
      </c>
      <c r="D771" s="54">
        <f t="shared" ref="D771:D834" si="25">G771+H771</f>
        <v>42780.712696666669</v>
      </c>
      <c r="E771" s="63">
        <v>42780</v>
      </c>
      <c r="F771" s="61">
        <v>0.67103000000000002</v>
      </c>
      <c r="G771" s="63">
        <v>42780</v>
      </c>
      <c r="H771" s="61">
        <v>0.71269666666666665</v>
      </c>
      <c r="I771" s="55">
        <v>30</v>
      </c>
      <c r="J771" s="56" t="s">
        <v>229</v>
      </c>
      <c r="K771" s="75" t="s">
        <v>228</v>
      </c>
      <c r="L771" s="70">
        <v>0</v>
      </c>
    </row>
    <row r="772" spans="1:12" ht="15" customHeight="1">
      <c r="A772" s="53" t="s">
        <v>218</v>
      </c>
      <c r="B772" s="53" t="s">
        <v>185</v>
      </c>
      <c r="C772" s="54">
        <f t="shared" si="24"/>
        <v>42993.424550000003</v>
      </c>
      <c r="D772" s="54">
        <f t="shared" si="25"/>
        <v>42993.466216666668</v>
      </c>
      <c r="E772" s="63">
        <v>42993</v>
      </c>
      <c r="F772" s="61">
        <v>0.42454999999999998</v>
      </c>
      <c r="G772" s="63">
        <v>42993</v>
      </c>
      <c r="H772" s="61">
        <v>0.46621666666666667</v>
      </c>
      <c r="I772" s="55">
        <v>30</v>
      </c>
      <c r="J772" s="56" t="s">
        <v>227</v>
      </c>
      <c r="K772" s="75" t="s">
        <v>230</v>
      </c>
      <c r="L772" s="70">
        <v>0</v>
      </c>
    </row>
    <row r="773" spans="1:12" ht="15" customHeight="1">
      <c r="A773" s="53" t="s">
        <v>217</v>
      </c>
      <c r="B773" s="53" t="s">
        <v>186</v>
      </c>
      <c r="C773" s="54">
        <f t="shared" si="24"/>
        <v>42876.348290000002</v>
      </c>
      <c r="D773" s="54">
        <f t="shared" si="25"/>
        <v>42876.389956666666</v>
      </c>
      <c r="E773" s="63">
        <v>42876</v>
      </c>
      <c r="F773" s="61">
        <v>0.34828999999999999</v>
      </c>
      <c r="G773" s="63">
        <v>42876</v>
      </c>
      <c r="H773" s="61">
        <v>0.38995666666666667</v>
      </c>
      <c r="I773" s="55">
        <v>30</v>
      </c>
      <c r="J773" s="56" t="s">
        <v>227</v>
      </c>
      <c r="K773" s="75" t="s">
        <v>230</v>
      </c>
      <c r="L773" s="70">
        <v>0</v>
      </c>
    </row>
    <row r="774" spans="1:12" ht="15" customHeight="1">
      <c r="A774" s="53" t="s">
        <v>220</v>
      </c>
      <c r="B774" s="53" t="s">
        <v>187</v>
      </c>
      <c r="C774" s="54">
        <f t="shared" si="24"/>
        <v>42918.41044</v>
      </c>
      <c r="D774" s="54">
        <f t="shared" si="25"/>
        <v>42918.452106666664</v>
      </c>
      <c r="E774" s="63">
        <v>42918</v>
      </c>
      <c r="F774" s="61">
        <v>0.41044000000000003</v>
      </c>
      <c r="G774" s="63">
        <v>42918</v>
      </c>
      <c r="H774" s="61">
        <v>0.45210666666666671</v>
      </c>
      <c r="I774" s="55">
        <v>30</v>
      </c>
      <c r="J774" s="56" t="s">
        <v>232</v>
      </c>
      <c r="K774" s="75" t="s">
        <v>228</v>
      </c>
      <c r="L774" s="70">
        <v>0</v>
      </c>
    </row>
    <row r="775" spans="1:12" ht="15" customHeight="1">
      <c r="A775" s="53" t="s">
        <v>220</v>
      </c>
      <c r="B775" s="53" t="s">
        <v>188</v>
      </c>
      <c r="C775" s="54">
        <f t="shared" si="24"/>
        <v>43054.319360000001</v>
      </c>
      <c r="D775" s="54">
        <f t="shared" si="25"/>
        <v>43054.361026666666</v>
      </c>
      <c r="E775" s="63">
        <v>43054</v>
      </c>
      <c r="F775" s="61">
        <v>0.31935999999999998</v>
      </c>
      <c r="G775" s="63">
        <v>43054</v>
      </c>
      <c r="H775" s="61">
        <v>0.36102666666666666</v>
      </c>
      <c r="I775" s="55">
        <v>30</v>
      </c>
      <c r="J775" s="56" t="s">
        <v>232</v>
      </c>
      <c r="K775" s="75" t="s">
        <v>231</v>
      </c>
      <c r="L775" s="70">
        <v>0</v>
      </c>
    </row>
    <row r="776" spans="1:12" ht="15" customHeight="1">
      <c r="A776" s="53" t="s">
        <v>219</v>
      </c>
      <c r="B776" s="53" t="s">
        <v>189</v>
      </c>
      <c r="C776" s="54">
        <f t="shared" si="24"/>
        <v>43052.336819999997</v>
      </c>
      <c r="D776" s="54">
        <f t="shared" si="25"/>
        <v>43052.378486666668</v>
      </c>
      <c r="E776" s="63">
        <v>43052</v>
      </c>
      <c r="F776" s="61">
        <v>0.33682000000000001</v>
      </c>
      <c r="G776" s="63">
        <v>43052</v>
      </c>
      <c r="H776" s="61">
        <v>0.37848666666666669</v>
      </c>
      <c r="I776" s="55">
        <v>30</v>
      </c>
      <c r="J776" s="56" t="s">
        <v>229</v>
      </c>
      <c r="K776" s="75" t="s">
        <v>228</v>
      </c>
      <c r="L776" s="70">
        <v>0</v>
      </c>
    </row>
    <row r="777" spans="1:12" ht="15" customHeight="1">
      <c r="A777" s="53" t="s">
        <v>219</v>
      </c>
      <c r="B777" s="53" t="s">
        <v>190</v>
      </c>
      <c r="C777" s="54">
        <f t="shared" si="24"/>
        <v>42978.762750000002</v>
      </c>
      <c r="D777" s="54">
        <f t="shared" si="25"/>
        <v>42978.804416666666</v>
      </c>
      <c r="E777" s="63">
        <v>42978</v>
      </c>
      <c r="F777" s="61">
        <v>0.76275000000000004</v>
      </c>
      <c r="G777" s="63">
        <v>42978</v>
      </c>
      <c r="H777" s="61">
        <v>0.80441666666666667</v>
      </c>
      <c r="I777" s="55">
        <v>30</v>
      </c>
      <c r="J777" s="56" t="s">
        <v>232</v>
      </c>
      <c r="K777" s="75" t="s">
        <v>228</v>
      </c>
      <c r="L777" s="70">
        <v>0</v>
      </c>
    </row>
    <row r="778" spans="1:12" ht="15" customHeight="1">
      <c r="A778" s="53" t="s">
        <v>220</v>
      </c>
      <c r="B778" s="53" t="s">
        <v>191</v>
      </c>
      <c r="C778" s="54">
        <f t="shared" si="24"/>
        <v>42784.396350000003</v>
      </c>
      <c r="D778" s="54">
        <f t="shared" si="25"/>
        <v>42784.438016666667</v>
      </c>
      <c r="E778" s="63">
        <v>42784</v>
      </c>
      <c r="F778" s="61">
        <v>0.39634999999999998</v>
      </c>
      <c r="G778" s="63">
        <v>42784</v>
      </c>
      <c r="H778" s="61">
        <v>0.43801666666666667</v>
      </c>
      <c r="I778" s="55">
        <v>30</v>
      </c>
      <c r="J778" s="56" t="s">
        <v>232</v>
      </c>
      <c r="K778" s="75" t="s">
        <v>228</v>
      </c>
      <c r="L778" s="70">
        <v>0</v>
      </c>
    </row>
    <row r="779" spans="1:12" ht="15" customHeight="1">
      <c r="A779" s="53" t="s">
        <v>216</v>
      </c>
      <c r="B779" s="53" t="s">
        <v>192</v>
      </c>
      <c r="C779" s="54">
        <f t="shared" si="24"/>
        <v>42871.514360000001</v>
      </c>
      <c r="D779" s="54">
        <f t="shared" si="25"/>
        <v>42871.556026666665</v>
      </c>
      <c r="E779" s="63">
        <v>42871</v>
      </c>
      <c r="F779" s="61">
        <v>0.51436000000000004</v>
      </c>
      <c r="G779" s="63">
        <v>42871</v>
      </c>
      <c r="H779" s="61">
        <v>0.55602666666666667</v>
      </c>
      <c r="I779" s="55">
        <v>30</v>
      </c>
      <c r="J779" s="56" t="s">
        <v>232</v>
      </c>
      <c r="K779" s="75" t="s">
        <v>228</v>
      </c>
      <c r="L779" s="70">
        <v>0</v>
      </c>
    </row>
    <row r="780" spans="1:12" ht="15" customHeight="1">
      <c r="A780" s="53" t="s">
        <v>219</v>
      </c>
      <c r="B780" s="53" t="s">
        <v>193</v>
      </c>
      <c r="C780" s="54">
        <f t="shared" si="24"/>
        <v>42903.3462</v>
      </c>
      <c r="D780" s="54">
        <f t="shared" si="25"/>
        <v>42903.387866666664</v>
      </c>
      <c r="E780" s="63">
        <v>42903</v>
      </c>
      <c r="F780" s="61">
        <v>0.34620000000000001</v>
      </c>
      <c r="G780" s="63">
        <v>42903</v>
      </c>
      <c r="H780" s="61">
        <v>0.38786666666666669</v>
      </c>
      <c r="I780" s="55">
        <v>30</v>
      </c>
      <c r="J780" s="56" t="s">
        <v>232</v>
      </c>
      <c r="K780" s="75" t="s">
        <v>230</v>
      </c>
      <c r="L780" s="70">
        <v>0</v>
      </c>
    </row>
    <row r="781" spans="1:12" ht="15" customHeight="1">
      <c r="A781" s="53" t="s">
        <v>218</v>
      </c>
      <c r="B781" s="53" t="s">
        <v>194</v>
      </c>
      <c r="C781" s="54">
        <f t="shared" si="24"/>
        <v>42865.480969999997</v>
      </c>
      <c r="D781" s="54">
        <f t="shared" si="25"/>
        <v>42865.522636666668</v>
      </c>
      <c r="E781" s="63">
        <v>42865</v>
      </c>
      <c r="F781" s="61">
        <v>0.48097000000000001</v>
      </c>
      <c r="G781" s="63">
        <v>42865</v>
      </c>
      <c r="H781" s="61">
        <v>0.52263666666666664</v>
      </c>
      <c r="I781" s="55">
        <v>30</v>
      </c>
      <c r="J781" s="56" t="s">
        <v>232</v>
      </c>
      <c r="K781" s="75" t="s">
        <v>231</v>
      </c>
      <c r="L781" s="70">
        <v>0</v>
      </c>
    </row>
    <row r="782" spans="1:12" ht="15" customHeight="1">
      <c r="A782" s="53" t="s">
        <v>219</v>
      </c>
      <c r="B782" s="53" t="s">
        <v>195</v>
      </c>
      <c r="C782" s="54">
        <f t="shared" si="24"/>
        <v>42788.422500000001</v>
      </c>
      <c r="D782" s="54">
        <f t="shared" si="25"/>
        <v>42788.464166666665</v>
      </c>
      <c r="E782" s="63">
        <v>42788</v>
      </c>
      <c r="F782" s="61">
        <v>0.42249999999999999</v>
      </c>
      <c r="G782" s="63">
        <v>42788</v>
      </c>
      <c r="H782" s="61">
        <v>0.46416666666666667</v>
      </c>
      <c r="I782" s="55">
        <v>30</v>
      </c>
      <c r="J782" s="56" t="s">
        <v>227</v>
      </c>
      <c r="K782" s="75" t="s">
        <v>231</v>
      </c>
      <c r="L782" s="70">
        <v>0</v>
      </c>
    </row>
    <row r="783" spans="1:12" ht="15" customHeight="1">
      <c r="A783" s="53" t="s">
        <v>219</v>
      </c>
      <c r="B783" s="53" t="s">
        <v>196</v>
      </c>
      <c r="C783" s="54">
        <f t="shared" si="24"/>
        <v>42787.62083</v>
      </c>
      <c r="D783" s="54">
        <f t="shared" si="25"/>
        <v>42787.662496666664</v>
      </c>
      <c r="E783" s="63">
        <v>42787</v>
      </c>
      <c r="F783" s="61">
        <v>0.62082999999999999</v>
      </c>
      <c r="G783" s="63">
        <v>42787</v>
      </c>
      <c r="H783" s="61">
        <v>0.66249666666666662</v>
      </c>
      <c r="I783" s="55">
        <v>30</v>
      </c>
      <c r="J783" s="56" t="s">
        <v>229</v>
      </c>
      <c r="K783" s="75" t="s">
        <v>228</v>
      </c>
      <c r="L783" s="70">
        <v>0</v>
      </c>
    </row>
    <row r="784" spans="1:12" ht="15" customHeight="1">
      <c r="A784" s="53" t="s">
        <v>216</v>
      </c>
      <c r="B784" s="53" t="s">
        <v>197</v>
      </c>
      <c r="C784" s="54">
        <f t="shared" si="24"/>
        <v>43040.329129999998</v>
      </c>
      <c r="D784" s="54">
        <f t="shared" si="25"/>
        <v>43040.37079666667</v>
      </c>
      <c r="E784" s="63">
        <v>43040</v>
      </c>
      <c r="F784" s="61">
        <v>0.32912999999999998</v>
      </c>
      <c r="G784" s="63">
        <v>43040</v>
      </c>
      <c r="H784" s="61">
        <v>0.37079666666666666</v>
      </c>
      <c r="I784" s="55">
        <v>30</v>
      </c>
      <c r="J784" s="56" t="s">
        <v>227</v>
      </c>
      <c r="K784" s="75" t="s">
        <v>231</v>
      </c>
      <c r="L784" s="70">
        <v>0</v>
      </c>
    </row>
    <row r="785" spans="1:12" ht="15" customHeight="1">
      <c r="A785" s="53" t="s">
        <v>219</v>
      </c>
      <c r="B785" s="53" t="s">
        <v>198</v>
      </c>
      <c r="C785" s="54">
        <f t="shared" si="24"/>
        <v>42826.355459999999</v>
      </c>
      <c r="D785" s="54">
        <f t="shared" si="25"/>
        <v>42826.397126666663</v>
      </c>
      <c r="E785" s="63">
        <v>42826</v>
      </c>
      <c r="F785" s="61">
        <v>0.35546</v>
      </c>
      <c r="G785" s="63">
        <v>42826</v>
      </c>
      <c r="H785" s="61">
        <v>0.39712666666666668</v>
      </c>
      <c r="I785" s="55">
        <v>30</v>
      </c>
      <c r="J785" s="56" t="s">
        <v>229</v>
      </c>
      <c r="K785" s="75" t="s">
        <v>231</v>
      </c>
      <c r="L785" s="70">
        <v>0</v>
      </c>
    </row>
    <row r="786" spans="1:12" ht="15" customHeight="1">
      <c r="A786" s="53" t="s">
        <v>218</v>
      </c>
      <c r="B786" s="53" t="s">
        <v>199</v>
      </c>
      <c r="C786" s="54">
        <f t="shared" si="24"/>
        <v>43001.387629999997</v>
      </c>
      <c r="D786" s="54">
        <f t="shared" si="25"/>
        <v>43001.429296666669</v>
      </c>
      <c r="E786" s="63">
        <v>43001</v>
      </c>
      <c r="F786" s="61">
        <v>0.38762999999999997</v>
      </c>
      <c r="G786" s="63">
        <v>43001</v>
      </c>
      <c r="H786" s="61">
        <v>0.42929666666666666</v>
      </c>
      <c r="I786" s="55">
        <v>30</v>
      </c>
      <c r="J786" s="56" t="s">
        <v>229</v>
      </c>
      <c r="K786" s="75" t="s">
        <v>231</v>
      </c>
      <c r="L786" s="70">
        <v>0</v>
      </c>
    </row>
    <row r="787" spans="1:12" ht="15" customHeight="1">
      <c r="A787" s="53" t="s">
        <v>218</v>
      </c>
      <c r="B787" s="53" t="s">
        <v>200</v>
      </c>
      <c r="C787" s="54">
        <f t="shared" si="24"/>
        <v>42799.357429999996</v>
      </c>
      <c r="D787" s="54">
        <f t="shared" si="25"/>
        <v>42799.399096666668</v>
      </c>
      <c r="E787" s="63">
        <v>42799</v>
      </c>
      <c r="F787" s="61">
        <v>0.35743000000000003</v>
      </c>
      <c r="G787" s="63">
        <v>42799</v>
      </c>
      <c r="H787" s="61">
        <v>0.39909666666666671</v>
      </c>
      <c r="I787" s="55">
        <v>30</v>
      </c>
      <c r="J787" s="56" t="s">
        <v>227</v>
      </c>
      <c r="K787" s="75" t="s">
        <v>230</v>
      </c>
      <c r="L787" s="70">
        <v>0</v>
      </c>
    </row>
    <row r="788" spans="1:12" ht="15" customHeight="1">
      <c r="A788" s="53" t="s">
        <v>219</v>
      </c>
      <c r="B788" s="53" t="s">
        <v>201</v>
      </c>
      <c r="C788" s="54">
        <f t="shared" si="24"/>
        <v>42994.422189999997</v>
      </c>
      <c r="D788" s="54">
        <f t="shared" si="25"/>
        <v>42994.463856666669</v>
      </c>
      <c r="E788" s="63">
        <v>42994</v>
      </c>
      <c r="F788" s="61">
        <v>0.42219000000000001</v>
      </c>
      <c r="G788" s="63">
        <v>42994</v>
      </c>
      <c r="H788" s="61">
        <v>0.46385666666666669</v>
      </c>
      <c r="I788" s="55">
        <v>30</v>
      </c>
      <c r="J788" s="56" t="s">
        <v>229</v>
      </c>
      <c r="K788" s="75" t="s">
        <v>231</v>
      </c>
      <c r="L788" s="70">
        <v>0</v>
      </c>
    </row>
    <row r="789" spans="1:12" ht="15" customHeight="1">
      <c r="A789" s="53" t="s">
        <v>218</v>
      </c>
      <c r="B789" s="53" t="s">
        <v>202</v>
      </c>
      <c r="C789" s="54">
        <f t="shared" si="24"/>
        <v>42784.506110000002</v>
      </c>
      <c r="D789" s="54">
        <f t="shared" si="25"/>
        <v>42784.547776666666</v>
      </c>
      <c r="E789" s="63">
        <v>42784</v>
      </c>
      <c r="F789" s="61">
        <v>0.50610999999999995</v>
      </c>
      <c r="G789" s="63">
        <v>42784</v>
      </c>
      <c r="H789" s="61">
        <v>0.54777666666666658</v>
      </c>
      <c r="I789" s="55">
        <v>30</v>
      </c>
      <c r="J789" s="56" t="s">
        <v>232</v>
      </c>
      <c r="K789" s="75" t="s">
        <v>230</v>
      </c>
      <c r="L789" s="70">
        <v>0</v>
      </c>
    </row>
    <row r="790" spans="1:12" ht="15" customHeight="1">
      <c r="A790" s="53" t="s">
        <v>220</v>
      </c>
      <c r="B790" s="53" t="s">
        <v>203</v>
      </c>
      <c r="C790" s="54">
        <f t="shared" si="24"/>
        <v>42921.44397</v>
      </c>
      <c r="D790" s="54">
        <f t="shared" si="25"/>
        <v>42921.485636666665</v>
      </c>
      <c r="E790" s="63">
        <v>42921</v>
      </c>
      <c r="F790" s="61">
        <v>0.44396999999999998</v>
      </c>
      <c r="G790" s="63">
        <v>42921</v>
      </c>
      <c r="H790" s="61">
        <v>0.48563666666666666</v>
      </c>
      <c r="I790" s="55">
        <v>30</v>
      </c>
      <c r="J790" s="56" t="s">
        <v>229</v>
      </c>
      <c r="K790" s="75" t="s">
        <v>230</v>
      </c>
      <c r="L790" s="70">
        <v>0</v>
      </c>
    </row>
    <row r="791" spans="1:12" ht="15" customHeight="1">
      <c r="A791" s="53" t="s">
        <v>217</v>
      </c>
      <c r="B791" s="53" t="s">
        <v>204</v>
      </c>
      <c r="C791" s="54">
        <f t="shared" si="24"/>
        <v>42903.541129999998</v>
      </c>
      <c r="D791" s="54">
        <f t="shared" si="25"/>
        <v>42903.582796666669</v>
      </c>
      <c r="E791" s="63">
        <v>42903</v>
      </c>
      <c r="F791" s="61">
        <v>0.54113</v>
      </c>
      <c r="G791" s="63">
        <v>42903</v>
      </c>
      <c r="H791" s="61">
        <v>0.58279666666666663</v>
      </c>
      <c r="I791" s="55">
        <v>30</v>
      </c>
      <c r="J791" s="56" t="s">
        <v>229</v>
      </c>
      <c r="K791" s="75" t="s">
        <v>231</v>
      </c>
      <c r="L791" s="70">
        <v>0</v>
      </c>
    </row>
    <row r="792" spans="1:12" ht="15" customHeight="1">
      <c r="A792" s="53" t="s">
        <v>217</v>
      </c>
      <c r="B792" s="53" t="s">
        <v>205</v>
      </c>
      <c r="C792" s="54">
        <f t="shared" si="24"/>
        <v>42950.316930000001</v>
      </c>
      <c r="D792" s="54">
        <f t="shared" si="25"/>
        <v>42950.358596666665</v>
      </c>
      <c r="E792" s="63">
        <v>42950</v>
      </c>
      <c r="F792" s="61">
        <v>0.31692999999999999</v>
      </c>
      <c r="G792" s="63">
        <v>42950</v>
      </c>
      <c r="H792" s="61">
        <v>0.35859666666666667</v>
      </c>
      <c r="I792" s="55">
        <v>30</v>
      </c>
      <c r="J792" s="56" t="s">
        <v>227</v>
      </c>
      <c r="K792" s="75" t="s">
        <v>228</v>
      </c>
      <c r="L792" s="70">
        <v>0</v>
      </c>
    </row>
    <row r="793" spans="1:12" ht="15" customHeight="1">
      <c r="A793" s="53" t="s">
        <v>219</v>
      </c>
      <c r="B793" s="53" t="s">
        <v>206</v>
      </c>
      <c r="C793" s="54">
        <f t="shared" si="24"/>
        <v>42926.396679999998</v>
      </c>
      <c r="D793" s="54">
        <f t="shared" si="25"/>
        <v>42926.43834666667</v>
      </c>
      <c r="E793" s="63">
        <v>42926</v>
      </c>
      <c r="F793" s="61">
        <v>0.39667999999999998</v>
      </c>
      <c r="G793" s="63">
        <v>42926</v>
      </c>
      <c r="H793" s="61">
        <v>0.43834666666666666</v>
      </c>
      <c r="I793" s="55">
        <v>30</v>
      </c>
      <c r="J793" s="56" t="s">
        <v>229</v>
      </c>
      <c r="K793" s="75" t="s">
        <v>228</v>
      </c>
      <c r="L793" s="70">
        <v>0</v>
      </c>
    </row>
    <row r="794" spans="1:12" ht="15" customHeight="1">
      <c r="A794" s="53" t="s">
        <v>220</v>
      </c>
      <c r="B794" s="53" t="s">
        <v>207</v>
      </c>
      <c r="C794" s="54">
        <f t="shared" si="24"/>
        <v>42933.31265</v>
      </c>
      <c r="D794" s="54">
        <f t="shared" si="25"/>
        <v>42933.354316666664</v>
      </c>
      <c r="E794" s="63">
        <v>42933</v>
      </c>
      <c r="F794" s="61">
        <v>0.31264999999999998</v>
      </c>
      <c r="G794" s="63">
        <v>42933</v>
      </c>
      <c r="H794" s="61">
        <v>0.35431666666666667</v>
      </c>
      <c r="I794" s="55">
        <v>30</v>
      </c>
      <c r="J794" s="56" t="s">
        <v>232</v>
      </c>
      <c r="K794" s="75" t="s">
        <v>228</v>
      </c>
      <c r="L794" s="70">
        <v>0</v>
      </c>
    </row>
    <row r="795" spans="1:12" ht="15" customHeight="1">
      <c r="A795" s="53" t="s">
        <v>218</v>
      </c>
      <c r="B795" s="53" t="s">
        <v>208</v>
      </c>
      <c r="C795" s="54">
        <f t="shared" si="24"/>
        <v>42740.555619999999</v>
      </c>
      <c r="D795" s="54">
        <f t="shared" si="25"/>
        <v>42740.597286666663</v>
      </c>
      <c r="E795" s="63">
        <v>42740</v>
      </c>
      <c r="F795" s="61">
        <v>0.55562</v>
      </c>
      <c r="G795" s="63">
        <v>42740</v>
      </c>
      <c r="H795" s="61">
        <v>0.59728666666666663</v>
      </c>
      <c r="I795" s="55">
        <v>30</v>
      </c>
      <c r="J795" s="56" t="s">
        <v>227</v>
      </c>
      <c r="K795" s="75" t="s">
        <v>230</v>
      </c>
      <c r="L795" s="70">
        <v>0</v>
      </c>
    </row>
    <row r="796" spans="1:12" ht="15" customHeight="1">
      <c r="A796" s="53" t="s">
        <v>216</v>
      </c>
      <c r="B796" s="53" t="s">
        <v>209</v>
      </c>
      <c r="C796" s="54">
        <f t="shared" si="24"/>
        <v>42825.735619999999</v>
      </c>
      <c r="D796" s="54">
        <f t="shared" si="25"/>
        <v>42825.777286666664</v>
      </c>
      <c r="E796" s="63">
        <v>42825</v>
      </c>
      <c r="F796" s="61">
        <v>0.73562000000000005</v>
      </c>
      <c r="G796" s="63">
        <v>42825</v>
      </c>
      <c r="H796" s="61">
        <v>0.77728666666666668</v>
      </c>
      <c r="I796" s="55">
        <v>30</v>
      </c>
      <c r="J796" s="56" t="s">
        <v>227</v>
      </c>
      <c r="K796" s="75" t="s">
        <v>230</v>
      </c>
      <c r="L796" s="70">
        <v>0</v>
      </c>
    </row>
    <row r="797" spans="1:12" ht="15" customHeight="1">
      <c r="A797" s="53" t="s">
        <v>220</v>
      </c>
      <c r="B797" s="53" t="s">
        <v>210</v>
      </c>
      <c r="C797" s="54">
        <f t="shared" si="24"/>
        <v>42926.594400000002</v>
      </c>
      <c r="D797" s="54">
        <f t="shared" si="25"/>
        <v>42926.636066666666</v>
      </c>
      <c r="E797" s="63">
        <v>42926</v>
      </c>
      <c r="F797" s="61">
        <v>0.59440000000000004</v>
      </c>
      <c r="G797" s="63">
        <v>42926</v>
      </c>
      <c r="H797" s="61">
        <v>0.63606666666666667</v>
      </c>
      <c r="I797" s="55">
        <v>30</v>
      </c>
      <c r="J797" s="56" t="s">
        <v>229</v>
      </c>
      <c r="K797" s="75" t="s">
        <v>228</v>
      </c>
      <c r="L797" s="70">
        <v>0</v>
      </c>
    </row>
    <row r="798" spans="1:12" ht="15" customHeight="1">
      <c r="A798" s="53" t="s">
        <v>219</v>
      </c>
      <c r="B798" s="53" t="s">
        <v>211</v>
      </c>
      <c r="C798" s="54">
        <f t="shared" si="24"/>
        <v>43009.660519999998</v>
      </c>
      <c r="D798" s="54">
        <f t="shared" si="25"/>
        <v>43009.702186666669</v>
      </c>
      <c r="E798" s="63">
        <v>43009</v>
      </c>
      <c r="F798" s="61">
        <v>0.66052</v>
      </c>
      <c r="G798" s="63">
        <v>43009</v>
      </c>
      <c r="H798" s="61">
        <v>0.70218666666666663</v>
      </c>
      <c r="I798" s="55">
        <v>30</v>
      </c>
      <c r="J798" s="56" t="s">
        <v>229</v>
      </c>
      <c r="K798" s="75" t="s">
        <v>230</v>
      </c>
      <c r="L798" s="70">
        <v>0</v>
      </c>
    </row>
    <row r="799" spans="1:12" ht="15" customHeight="1">
      <c r="A799" s="53" t="s">
        <v>220</v>
      </c>
      <c r="B799" s="53" t="s">
        <v>212</v>
      </c>
      <c r="C799" s="54">
        <f t="shared" si="24"/>
        <v>43001.388099999996</v>
      </c>
      <c r="D799" s="54">
        <f t="shared" si="25"/>
        <v>43001.429766666668</v>
      </c>
      <c r="E799" s="63">
        <v>43001</v>
      </c>
      <c r="F799" s="61">
        <v>0.3881</v>
      </c>
      <c r="G799" s="63">
        <v>43001</v>
      </c>
      <c r="H799" s="61">
        <v>0.42976666666666669</v>
      </c>
      <c r="I799" s="55">
        <v>30</v>
      </c>
      <c r="J799" s="56" t="s">
        <v>229</v>
      </c>
      <c r="K799" s="75" t="s">
        <v>230</v>
      </c>
      <c r="L799" s="70">
        <v>0</v>
      </c>
    </row>
    <row r="800" spans="1:12" ht="15" customHeight="1">
      <c r="A800" s="53" t="s">
        <v>219</v>
      </c>
      <c r="B800" s="53" t="s">
        <v>213</v>
      </c>
      <c r="C800" s="54">
        <f t="shared" si="24"/>
        <v>42817.682410000001</v>
      </c>
      <c r="D800" s="54">
        <f t="shared" si="25"/>
        <v>42817.724076666665</v>
      </c>
      <c r="E800" s="63">
        <v>42817</v>
      </c>
      <c r="F800" s="61">
        <v>0.68240999999999996</v>
      </c>
      <c r="G800" s="63">
        <v>42817</v>
      </c>
      <c r="H800" s="61">
        <v>0.72407666666666659</v>
      </c>
      <c r="I800" s="55">
        <v>30</v>
      </c>
      <c r="J800" s="56" t="s">
        <v>227</v>
      </c>
      <c r="K800" s="75" t="s">
        <v>231</v>
      </c>
      <c r="L800" s="70">
        <v>0</v>
      </c>
    </row>
    <row r="801" spans="1:12" ht="15" customHeight="1">
      <c r="A801" s="53" t="s">
        <v>218</v>
      </c>
      <c r="B801" s="53" t="s">
        <v>214</v>
      </c>
      <c r="C801" s="54">
        <f t="shared" si="24"/>
        <v>42970.529990000003</v>
      </c>
      <c r="D801" s="54">
        <f t="shared" si="25"/>
        <v>42970.571656666667</v>
      </c>
      <c r="E801" s="63">
        <v>42970</v>
      </c>
      <c r="F801" s="61">
        <v>0.52998999999999996</v>
      </c>
      <c r="G801" s="63">
        <v>42970</v>
      </c>
      <c r="H801" s="61">
        <v>0.57165666666666659</v>
      </c>
      <c r="I801" s="55">
        <v>30</v>
      </c>
      <c r="J801" s="56" t="s">
        <v>227</v>
      </c>
      <c r="K801" s="75" t="s">
        <v>230</v>
      </c>
      <c r="L801" s="70">
        <v>0</v>
      </c>
    </row>
    <row r="802" spans="1:12" ht="15" customHeight="1">
      <c r="A802" s="53" t="s">
        <v>216</v>
      </c>
      <c r="B802" s="53" t="s">
        <v>211</v>
      </c>
      <c r="C802" s="54">
        <f t="shared" si="24"/>
        <v>42787.680549999997</v>
      </c>
      <c r="D802" s="54">
        <f t="shared" si="25"/>
        <v>42787.722216666669</v>
      </c>
      <c r="E802" s="63">
        <v>42787</v>
      </c>
      <c r="F802" s="61">
        <v>0.68054999999999999</v>
      </c>
      <c r="G802" s="63">
        <v>42787</v>
      </c>
      <c r="H802" s="61">
        <v>0.72221666666666662</v>
      </c>
      <c r="I802" s="55">
        <v>30</v>
      </c>
      <c r="J802" s="56" t="s">
        <v>232</v>
      </c>
      <c r="K802" s="75" t="s">
        <v>228</v>
      </c>
      <c r="L802" s="70">
        <v>0</v>
      </c>
    </row>
    <row r="803" spans="1:12" ht="15" customHeight="1">
      <c r="A803" s="53" t="s">
        <v>217</v>
      </c>
      <c r="B803" s="53" t="s">
        <v>212</v>
      </c>
      <c r="C803" s="54">
        <f t="shared" si="24"/>
        <v>42871.476770000001</v>
      </c>
      <c r="D803" s="54">
        <f t="shared" si="25"/>
        <v>42871.518436666665</v>
      </c>
      <c r="E803" s="63">
        <v>42871</v>
      </c>
      <c r="F803" s="61">
        <v>0.47677000000000003</v>
      </c>
      <c r="G803" s="63">
        <v>42871</v>
      </c>
      <c r="H803" s="61">
        <v>0.51843666666666666</v>
      </c>
      <c r="I803" s="55">
        <v>30</v>
      </c>
      <c r="J803" s="56" t="s">
        <v>232</v>
      </c>
      <c r="K803" s="75" t="s">
        <v>228</v>
      </c>
      <c r="L803" s="70">
        <v>0</v>
      </c>
    </row>
    <row r="804" spans="1:12" ht="15" customHeight="1">
      <c r="A804" s="53" t="s">
        <v>216</v>
      </c>
      <c r="B804" s="53" t="s">
        <v>15</v>
      </c>
      <c r="C804" s="54">
        <f t="shared" si="24"/>
        <v>43077.37816</v>
      </c>
      <c r="D804" s="54">
        <f t="shared" si="25"/>
        <v>43077.419826666664</v>
      </c>
      <c r="E804" s="63">
        <v>43077</v>
      </c>
      <c r="F804" s="61">
        <v>0.37816</v>
      </c>
      <c r="G804" s="63">
        <v>43077</v>
      </c>
      <c r="H804" s="61">
        <v>0.41982666666666668</v>
      </c>
      <c r="I804" s="55">
        <v>30</v>
      </c>
      <c r="J804" s="56" t="s">
        <v>232</v>
      </c>
      <c r="K804" s="75" t="s">
        <v>231</v>
      </c>
      <c r="L804" s="70">
        <v>0</v>
      </c>
    </row>
    <row r="805" spans="1:12" ht="15" customHeight="1">
      <c r="A805" s="53" t="s">
        <v>217</v>
      </c>
      <c r="B805" s="53" t="s">
        <v>16</v>
      </c>
      <c r="C805" s="54">
        <f t="shared" si="24"/>
        <v>42869.498379999997</v>
      </c>
      <c r="D805" s="54">
        <f t="shared" si="25"/>
        <v>42869.540046666669</v>
      </c>
      <c r="E805" s="63">
        <v>42869</v>
      </c>
      <c r="F805" s="61">
        <v>0.49837999999999999</v>
      </c>
      <c r="G805" s="63">
        <v>42869</v>
      </c>
      <c r="H805" s="61">
        <v>0.54004666666666667</v>
      </c>
      <c r="I805" s="55">
        <v>30</v>
      </c>
      <c r="J805" s="56" t="s">
        <v>229</v>
      </c>
      <c r="K805" s="75" t="s">
        <v>231</v>
      </c>
      <c r="L805" s="70">
        <v>0</v>
      </c>
    </row>
    <row r="806" spans="1:12" ht="15" customHeight="1">
      <c r="A806" s="53" t="s">
        <v>218</v>
      </c>
      <c r="B806" s="53" t="s">
        <v>17</v>
      </c>
      <c r="C806" s="54">
        <f t="shared" si="24"/>
        <v>42754.65999</v>
      </c>
      <c r="D806" s="54">
        <f t="shared" si="25"/>
        <v>42754.701656666664</v>
      </c>
      <c r="E806" s="63">
        <v>42754</v>
      </c>
      <c r="F806" s="61">
        <v>0.65998999999999997</v>
      </c>
      <c r="G806" s="63">
        <v>42754</v>
      </c>
      <c r="H806" s="61">
        <v>0.7016566666666666</v>
      </c>
      <c r="I806" s="55">
        <v>30</v>
      </c>
      <c r="J806" s="56" t="s">
        <v>232</v>
      </c>
      <c r="K806" s="75" t="s">
        <v>230</v>
      </c>
      <c r="L806" s="70">
        <v>0</v>
      </c>
    </row>
    <row r="807" spans="1:12" ht="15" customHeight="1">
      <c r="A807" s="53" t="s">
        <v>216</v>
      </c>
      <c r="B807" s="53" t="s">
        <v>18</v>
      </c>
      <c r="C807" s="54">
        <f t="shared" si="24"/>
        <v>42894.314890000001</v>
      </c>
      <c r="D807" s="54">
        <f t="shared" si="25"/>
        <v>42894.356556666666</v>
      </c>
      <c r="E807" s="63">
        <v>42894</v>
      </c>
      <c r="F807" s="61">
        <v>0.31489</v>
      </c>
      <c r="G807" s="63">
        <v>42894</v>
      </c>
      <c r="H807" s="61">
        <v>0.35655666666666669</v>
      </c>
      <c r="I807" s="55">
        <v>30</v>
      </c>
      <c r="J807" s="56" t="s">
        <v>227</v>
      </c>
      <c r="K807" s="75" t="s">
        <v>228</v>
      </c>
      <c r="L807" s="70">
        <v>0</v>
      </c>
    </row>
    <row r="808" spans="1:12" ht="15" customHeight="1">
      <c r="A808" s="53" t="s">
        <v>220</v>
      </c>
      <c r="B808" s="53" t="s">
        <v>19</v>
      </c>
      <c r="C808" s="54">
        <f t="shared" si="24"/>
        <v>43021.343070000003</v>
      </c>
      <c r="D808" s="54">
        <f t="shared" si="25"/>
        <v>43021.384736666667</v>
      </c>
      <c r="E808" s="63">
        <v>43021</v>
      </c>
      <c r="F808" s="61">
        <v>0.34306999999999999</v>
      </c>
      <c r="G808" s="63">
        <v>43021</v>
      </c>
      <c r="H808" s="61">
        <v>0.38473666666666667</v>
      </c>
      <c r="I808" s="55">
        <v>30</v>
      </c>
      <c r="J808" s="56" t="s">
        <v>229</v>
      </c>
      <c r="K808" s="75" t="s">
        <v>228</v>
      </c>
      <c r="L808" s="70">
        <v>0</v>
      </c>
    </row>
    <row r="809" spans="1:12" ht="15" customHeight="1">
      <c r="A809" s="53" t="s">
        <v>219</v>
      </c>
      <c r="B809" s="53" t="s">
        <v>20</v>
      </c>
      <c r="C809" s="54">
        <f t="shared" si="24"/>
        <v>42828.64935</v>
      </c>
      <c r="D809" s="54">
        <f t="shared" si="25"/>
        <v>42828.691016666664</v>
      </c>
      <c r="E809" s="63">
        <v>42828</v>
      </c>
      <c r="F809" s="61">
        <v>0.64934999999999998</v>
      </c>
      <c r="G809" s="63">
        <v>42828</v>
      </c>
      <c r="H809" s="61">
        <v>0.69101666666666661</v>
      </c>
      <c r="I809" s="55">
        <v>30</v>
      </c>
      <c r="J809" s="56" t="s">
        <v>232</v>
      </c>
      <c r="K809" s="75" t="s">
        <v>231</v>
      </c>
      <c r="L809" s="70">
        <v>0</v>
      </c>
    </row>
    <row r="810" spans="1:12" ht="15" customHeight="1">
      <c r="A810" s="53" t="s">
        <v>217</v>
      </c>
      <c r="B810" s="53" t="s">
        <v>21</v>
      </c>
      <c r="C810" s="54">
        <f t="shared" si="24"/>
        <v>43085.740360000003</v>
      </c>
      <c r="D810" s="54">
        <f t="shared" si="25"/>
        <v>43085.782026666668</v>
      </c>
      <c r="E810" s="63">
        <v>43085</v>
      </c>
      <c r="F810" s="61">
        <v>0.74036000000000002</v>
      </c>
      <c r="G810" s="63">
        <v>43085</v>
      </c>
      <c r="H810" s="61">
        <v>0.78202666666666665</v>
      </c>
      <c r="I810" s="55">
        <v>30</v>
      </c>
      <c r="J810" s="56" t="s">
        <v>227</v>
      </c>
      <c r="K810" s="75" t="s">
        <v>231</v>
      </c>
      <c r="L810" s="70">
        <v>0</v>
      </c>
    </row>
    <row r="811" spans="1:12" ht="15" customHeight="1">
      <c r="A811" s="53" t="s">
        <v>216</v>
      </c>
      <c r="B811" s="53" t="s">
        <v>22</v>
      </c>
      <c r="C811" s="54">
        <f t="shared" si="24"/>
        <v>42963.7693</v>
      </c>
      <c r="D811" s="54">
        <f t="shared" si="25"/>
        <v>42963.810966666664</v>
      </c>
      <c r="E811" s="63">
        <v>42963</v>
      </c>
      <c r="F811" s="61">
        <v>0.76929999999999998</v>
      </c>
      <c r="G811" s="63">
        <v>42963</v>
      </c>
      <c r="H811" s="61">
        <v>0.81096666666666661</v>
      </c>
      <c r="I811" s="55">
        <v>30</v>
      </c>
      <c r="J811" s="56" t="s">
        <v>229</v>
      </c>
      <c r="K811" s="75" t="s">
        <v>228</v>
      </c>
      <c r="L811" s="70">
        <v>0</v>
      </c>
    </row>
    <row r="812" spans="1:12" ht="15" customHeight="1">
      <c r="A812" s="53" t="s">
        <v>217</v>
      </c>
      <c r="B812" s="53" t="s">
        <v>23</v>
      </c>
      <c r="C812" s="54">
        <f t="shared" si="24"/>
        <v>42749.61924</v>
      </c>
      <c r="D812" s="54">
        <f t="shared" si="25"/>
        <v>42749.660906666664</v>
      </c>
      <c r="E812" s="63">
        <v>42749</v>
      </c>
      <c r="F812" s="61">
        <v>0.61924000000000001</v>
      </c>
      <c r="G812" s="63">
        <v>42749</v>
      </c>
      <c r="H812" s="61">
        <v>0.66090666666666664</v>
      </c>
      <c r="I812" s="55">
        <v>30</v>
      </c>
      <c r="J812" s="56" t="s">
        <v>232</v>
      </c>
      <c r="K812" s="75" t="s">
        <v>230</v>
      </c>
      <c r="L812" s="70">
        <v>0</v>
      </c>
    </row>
    <row r="813" spans="1:12" ht="15" customHeight="1">
      <c r="A813" s="53" t="s">
        <v>217</v>
      </c>
      <c r="B813" s="53" t="s">
        <v>24</v>
      </c>
      <c r="C813" s="54">
        <f t="shared" si="24"/>
        <v>42799.600989999999</v>
      </c>
      <c r="D813" s="54">
        <f t="shared" si="25"/>
        <v>42799.642656666663</v>
      </c>
      <c r="E813" s="63">
        <v>42799</v>
      </c>
      <c r="F813" s="61">
        <v>0.60099000000000002</v>
      </c>
      <c r="G813" s="63">
        <v>42799</v>
      </c>
      <c r="H813" s="61">
        <v>0.64265666666666665</v>
      </c>
      <c r="I813" s="55">
        <v>30</v>
      </c>
      <c r="J813" s="56" t="s">
        <v>229</v>
      </c>
      <c r="K813" s="75" t="s">
        <v>228</v>
      </c>
      <c r="L813" s="70">
        <v>0</v>
      </c>
    </row>
    <row r="814" spans="1:12" ht="15" customHeight="1">
      <c r="A814" s="53" t="s">
        <v>218</v>
      </c>
      <c r="B814" s="53" t="s">
        <v>25</v>
      </c>
      <c r="C814" s="54">
        <f t="shared" si="24"/>
        <v>42890.539089999998</v>
      </c>
      <c r="D814" s="54">
        <f t="shared" si="25"/>
        <v>42890.58075666667</v>
      </c>
      <c r="E814" s="63">
        <v>42890</v>
      </c>
      <c r="F814" s="61">
        <v>0.53908999999999996</v>
      </c>
      <c r="G814" s="63">
        <v>42890</v>
      </c>
      <c r="H814" s="61">
        <v>0.58075666666666659</v>
      </c>
      <c r="I814" s="55">
        <v>30</v>
      </c>
      <c r="J814" s="56" t="s">
        <v>227</v>
      </c>
      <c r="K814" s="75" t="s">
        <v>230</v>
      </c>
      <c r="L814" s="70">
        <v>0</v>
      </c>
    </row>
    <row r="815" spans="1:12" ht="15" customHeight="1">
      <c r="A815" s="53" t="s">
        <v>216</v>
      </c>
      <c r="B815" s="53" t="s">
        <v>26</v>
      </c>
      <c r="C815" s="54">
        <f t="shared" si="24"/>
        <v>42918.535470000003</v>
      </c>
      <c r="D815" s="54">
        <f t="shared" si="25"/>
        <v>42918.577136666667</v>
      </c>
      <c r="E815" s="63">
        <v>42918</v>
      </c>
      <c r="F815" s="61">
        <v>0.53547</v>
      </c>
      <c r="G815" s="63">
        <v>42918</v>
      </c>
      <c r="H815" s="61">
        <v>0.57713666666666663</v>
      </c>
      <c r="I815" s="55">
        <v>30</v>
      </c>
      <c r="J815" s="56" t="s">
        <v>227</v>
      </c>
      <c r="K815" s="75" t="s">
        <v>230</v>
      </c>
      <c r="L815" s="70">
        <v>0</v>
      </c>
    </row>
    <row r="816" spans="1:12" ht="15" customHeight="1">
      <c r="A816" s="53" t="s">
        <v>217</v>
      </c>
      <c r="B816" s="53" t="s">
        <v>27</v>
      </c>
      <c r="C816" s="54">
        <f t="shared" si="24"/>
        <v>42832.491929999997</v>
      </c>
      <c r="D816" s="54">
        <f t="shared" si="25"/>
        <v>42832.533596666668</v>
      </c>
      <c r="E816" s="63">
        <v>42832</v>
      </c>
      <c r="F816" s="61">
        <v>0.49192999999999998</v>
      </c>
      <c r="G816" s="63">
        <v>42832</v>
      </c>
      <c r="H816" s="61">
        <v>0.53359666666666661</v>
      </c>
      <c r="I816" s="55">
        <v>30</v>
      </c>
      <c r="J816" s="56" t="s">
        <v>229</v>
      </c>
      <c r="K816" s="75" t="s">
        <v>231</v>
      </c>
      <c r="L816" s="70">
        <v>0</v>
      </c>
    </row>
    <row r="817" spans="1:12" ht="15" customHeight="1">
      <c r="A817" s="53" t="s">
        <v>218</v>
      </c>
      <c r="B817" s="53" t="s">
        <v>28</v>
      </c>
      <c r="C817" s="54">
        <f t="shared" si="24"/>
        <v>42800.481659999998</v>
      </c>
      <c r="D817" s="54">
        <f t="shared" si="25"/>
        <v>42800.523326666669</v>
      </c>
      <c r="E817" s="63">
        <v>42800</v>
      </c>
      <c r="F817" s="61">
        <v>0.48165999999999998</v>
      </c>
      <c r="G817" s="63">
        <v>42800</v>
      </c>
      <c r="H817" s="61">
        <v>0.52332666666666661</v>
      </c>
      <c r="I817" s="55">
        <v>30</v>
      </c>
      <c r="J817" s="56" t="s">
        <v>229</v>
      </c>
      <c r="K817" s="75" t="s">
        <v>230</v>
      </c>
      <c r="L817" s="70">
        <v>0</v>
      </c>
    </row>
    <row r="818" spans="1:12" ht="15" customHeight="1">
      <c r="A818" s="53" t="s">
        <v>219</v>
      </c>
      <c r="B818" s="53" t="s">
        <v>29</v>
      </c>
      <c r="C818" s="54">
        <f t="shared" si="24"/>
        <v>42738.730479999998</v>
      </c>
      <c r="D818" s="54">
        <f t="shared" si="25"/>
        <v>42738.77214666667</v>
      </c>
      <c r="E818" s="63">
        <v>42738</v>
      </c>
      <c r="F818" s="61">
        <v>0.73048000000000002</v>
      </c>
      <c r="G818" s="63">
        <v>42738</v>
      </c>
      <c r="H818" s="61">
        <v>0.77214666666666665</v>
      </c>
      <c r="I818" s="55">
        <v>30</v>
      </c>
      <c r="J818" s="56" t="s">
        <v>232</v>
      </c>
      <c r="K818" s="75" t="s">
        <v>231</v>
      </c>
      <c r="L818" s="70">
        <v>0</v>
      </c>
    </row>
    <row r="819" spans="1:12" ht="15" customHeight="1">
      <c r="A819" s="53" t="s">
        <v>218</v>
      </c>
      <c r="B819" s="53" t="s">
        <v>30</v>
      </c>
      <c r="C819" s="54">
        <f t="shared" si="24"/>
        <v>42927.703130000002</v>
      </c>
      <c r="D819" s="54">
        <f t="shared" si="25"/>
        <v>42927.744796666666</v>
      </c>
      <c r="E819" s="63">
        <v>42927</v>
      </c>
      <c r="F819" s="61">
        <v>0.70313000000000003</v>
      </c>
      <c r="G819" s="63">
        <v>42927</v>
      </c>
      <c r="H819" s="61">
        <v>0.74479666666666666</v>
      </c>
      <c r="I819" s="55">
        <v>30</v>
      </c>
      <c r="J819" s="56" t="s">
        <v>229</v>
      </c>
      <c r="K819" s="75" t="s">
        <v>228</v>
      </c>
      <c r="L819" s="70">
        <v>0</v>
      </c>
    </row>
    <row r="820" spans="1:12" ht="15" customHeight="1">
      <c r="A820" s="53" t="s">
        <v>216</v>
      </c>
      <c r="B820" s="53" t="s">
        <v>31</v>
      </c>
      <c r="C820" s="54">
        <f t="shared" si="24"/>
        <v>42907.328809999999</v>
      </c>
      <c r="D820" s="54">
        <f t="shared" si="25"/>
        <v>42907.370476666663</v>
      </c>
      <c r="E820" s="63">
        <v>42907</v>
      </c>
      <c r="F820" s="61">
        <v>0.32880999999999999</v>
      </c>
      <c r="G820" s="63">
        <v>42907</v>
      </c>
      <c r="H820" s="61">
        <v>0.37047666666666668</v>
      </c>
      <c r="I820" s="55">
        <v>30</v>
      </c>
      <c r="J820" s="56" t="s">
        <v>232</v>
      </c>
      <c r="K820" s="75" t="s">
        <v>230</v>
      </c>
      <c r="L820" s="70">
        <v>0</v>
      </c>
    </row>
    <row r="821" spans="1:12" ht="15" customHeight="1">
      <c r="A821" s="53" t="s">
        <v>220</v>
      </c>
      <c r="B821" s="53" t="s">
        <v>32</v>
      </c>
      <c r="C821" s="54">
        <f t="shared" si="24"/>
        <v>43070.494729999999</v>
      </c>
      <c r="D821" s="54">
        <f t="shared" si="25"/>
        <v>43070.53639666667</v>
      </c>
      <c r="E821" s="63">
        <v>43070</v>
      </c>
      <c r="F821" s="61">
        <v>0.49473</v>
      </c>
      <c r="G821" s="63">
        <v>43070</v>
      </c>
      <c r="H821" s="61">
        <v>0.53639666666666663</v>
      </c>
      <c r="I821" s="55">
        <v>30</v>
      </c>
      <c r="J821" s="56" t="s">
        <v>229</v>
      </c>
      <c r="K821" s="75" t="s">
        <v>230</v>
      </c>
      <c r="L821" s="70">
        <v>0</v>
      </c>
    </row>
    <row r="822" spans="1:12" ht="15" customHeight="1">
      <c r="A822" s="53" t="s">
        <v>220</v>
      </c>
      <c r="B822" s="53" t="s">
        <v>33</v>
      </c>
      <c r="C822" s="54">
        <f t="shared" si="24"/>
        <v>42804.765760000002</v>
      </c>
      <c r="D822" s="54">
        <f t="shared" si="25"/>
        <v>42804.807426666666</v>
      </c>
      <c r="E822" s="63">
        <v>42804</v>
      </c>
      <c r="F822" s="61">
        <v>0.76576</v>
      </c>
      <c r="G822" s="63">
        <v>42804</v>
      </c>
      <c r="H822" s="61">
        <v>0.80742666666666663</v>
      </c>
      <c r="I822" s="55">
        <v>30</v>
      </c>
      <c r="J822" s="56" t="s">
        <v>232</v>
      </c>
      <c r="K822" s="75" t="s">
        <v>230</v>
      </c>
      <c r="L822" s="70">
        <v>0</v>
      </c>
    </row>
    <row r="823" spans="1:12" ht="15" customHeight="1">
      <c r="A823" s="53" t="s">
        <v>220</v>
      </c>
      <c r="B823" s="53" t="s">
        <v>34</v>
      </c>
      <c r="C823" s="54">
        <f t="shared" si="24"/>
        <v>42800.464760000003</v>
      </c>
      <c r="D823" s="54">
        <f t="shared" si="25"/>
        <v>42800.506426666667</v>
      </c>
      <c r="E823" s="63">
        <v>42800</v>
      </c>
      <c r="F823" s="61">
        <v>0.46476000000000001</v>
      </c>
      <c r="G823" s="63">
        <v>42800</v>
      </c>
      <c r="H823" s="61">
        <v>0.50642666666666669</v>
      </c>
      <c r="I823" s="55">
        <v>30</v>
      </c>
      <c r="J823" s="56" t="s">
        <v>227</v>
      </c>
      <c r="K823" s="75" t="s">
        <v>230</v>
      </c>
      <c r="L823" s="70">
        <v>0</v>
      </c>
    </row>
    <row r="824" spans="1:12" ht="15" customHeight="1">
      <c r="A824" s="53" t="s">
        <v>219</v>
      </c>
      <c r="B824" s="53" t="s">
        <v>35</v>
      </c>
      <c r="C824" s="54">
        <f t="shared" si="24"/>
        <v>42999.354950000001</v>
      </c>
      <c r="D824" s="54">
        <f t="shared" si="25"/>
        <v>42999.396616666665</v>
      </c>
      <c r="E824" s="63">
        <v>42999</v>
      </c>
      <c r="F824" s="61">
        <v>0.35494999999999999</v>
      </c>
      <c r="G824" s="63">
        <v>42999</v>
      </c>
      <c r="H824" s="61">
        <v>0.39661666666666667</v>
      </c>
      <c r="I824" s="55">
        <v>30</v>
      </c>
      <c r="J824" s="56" t="s">
        <v>229</v>
      </c>
      <c r="K824" s="75" t="s">
        <v>230</v>
      </c>
      <c r="L824" s="70">
        <v>0</v>
      </c>
    </row>
    <row r="825" spans="1:12" ht="15" customHeight="1">
      <c r="A825" s="53" t="s">
        <v>216</v>
      </c>
      <c r="B825" s="53" t="s">
        <v>36</v>
      </c>
      <c r="C825" s="54">
        <f t="shared" si="24"/>
        <v>42855.478869999999</v>
      </c>
      <c r="D825" s="54">
        <f t="shared" si="25"/>
        <v>42855.520536666663</v>
      </c>
      <c r="E825" s="63">
        <v>42855</v>
      </c>
      <c r="F825" s="61">
        <v>0.47887000000000002</v>
      </c>
      <c r="G825" s="63">
        <v>42855</v>
      </c>
      <c r="H825" s="61">
        <v>0.52053666666666665</v>
      </c>
      <c r="I825" s="55">
        <v>30</v>
      </c>
      <c r="J825" s="56" t="s">
        <v>227</v>
      </c>
      <c r="K825" s="75" t="s">
        <v>231</v>
      </c>
      <c r="L825" s="70">
        <v>0</v>
      </c>
    </row>
    <row r="826" spans="1:12" ht="15" customHeight="1">
      <c r="A826" s="53" t="s">
        <v>218</v>
      </c>
      <c r="B826" s="53" t="s">
        <v>37</v>
      </c>
      <c r="C826" s="54">
        <f t="shared" si="24"/>
        <v>42764.641439999999</v>
      </c>
      <c r="D826" s="54">
        <f t="shared" si="25"/>
        <v>42764.683106666664</v>
      </c>
      <c r="E826" s="63">
        <v>42764</v>
      </c>
      <c r="F826" s="61">
        <v>0.64144000000000001</v>
      </c>
      <c r="G826" s="63">
        <v>42764</v>
      </c>
      <c r="H826" s="61">
        <v>0.68310666666666664</v>
      </c>
      <c r="I826" s="55">
        <v>30</v>
      </c>
      <c r="J826" s="56" t="s">
        <v>232</v>
      </c>
      <c r="K826" s="75" t="s">
        <v>231</v>
      </c>
      <c r="L826" s="70">
        <v>0</v>
      </c>
    </row>
    <row r="827" spans="1:12" ht="15" customHeight="1">
      <c r="A827" s="53" t="s">
        <v>219</v>
      </c>
      <c r="B827" s="53" t="s">
        <v>38</v>
      </c>
      <c r="C827" s="54">
        <f t="shared" si="24"/>
        <v>42851.443809999997</v>
      </c>
      <c r="D827" s="54">
        <f t="shared" si="25"/>
        <v>42851.485476666669</v>
      </c>
      <c r="E827" s="63">
        <v>42851</v>
      </c>
      <c r="F827" s="61">
        <v>0.44380999999999998</v>
      </c>
      <c r="G827" s="63">
        <v>42851</v>
      </c>
      <c r="H827" s="61">
        <v>0.48547666666666667</v>
      </c>
      <c r="I827" s="55">
        <v>30</v>
      </c>
      <c r="J827" s="56" t="s">
        <v>229</v>
      </c>
      <c r="K827" s="75" t="s">
        <v>231</v>
      </c>
      <c r="L827" s="70">
        <v>0</v>
      </c>
    </row>
    <row r="828" spans="1:12" ht="15" customHeight="1">
      <c r="A828" s="53" t="s">
        <v>219</v>
      </c>
      <c r="B828" s="53" t="s">
        <v>39</v>
      </c>
      <c r="C828" s="54">
        <f t="shared" si="24"/>
        <v>42893.356599999999</v>
      </c>
      <c r="D828" s="54">
        <f t="shared" si="25"/>
        <v>42893.398266666663</v>
      </c>
      <c r="E828" s="63">
        <v>42893</v>
      </c>
      <c r="F828" s="61">
        <v>0.35659999999999997</v>
      </c>
      <c r="G828" s="63">
        <v>42893</v>
      </c>
      <c r="H828" s="61">
        <v>0.39826666666666666</v>
      </c>
      <c r="I828" s="55">
        <v>30</v>
      </c>
      <c r="J828" s="56" t="s">
        <v>232</v>
      </c>
      <c r="K828" s="75" t="s">
        <v>231</v>
      </c>
      <c r="L828" s="70">
        <v>0</v>
      </c>
    </row>
    <row r="829" spans="1:12" ht="15" customHeight="1">
      <c r="A829" s="53" t="s">
        <v>217</v>
      </c>
      <c r="B829" s="53" t="s">
        <v>40</v>
      </c>
      <c r="C829" s="54">
        <f t="shared" si="24"/>
        <v>42980.511559999999</v>
      </c>
      <c r="D829" s="54">
        <f t="shared" si="25"/>
        <v>42980.553226666663</v>
      </c>
      <c r="E829" s="63">
        <v>42980</v>
      </c>
      <c r="F829" s="61">
        <v>0.51156000000000001</v>
      </c>
      <c r="G829" s="63">
        <v>42980</v>
      </c>
      <c r="H829" s="61">
        <v>0.55322666666666664</v>
      </c>
      <c r="I829" s="55">
        <v>30</v>
      </c>
      <c r="J829" s="56" t="s">
        <v>227</v>
      </c>
      <c r="K829" s="75" t="s">
        <v>228</v>
      </c>
      <c r="L829" s="70">
        <v>0</v>
      </c>
    </row>
    <row r="830" spans="1:12" ht="15" customHeight="1">
      <c r="A830" s="53" t="s">
        <v>216</v>
      </c>
      <c r="B830" s="53" t="s">
        <v>41</v>
      </c>
      <c r="C830" s="54">
        <f t="shared" si="24"/>
        <v>43036.348639999997</v>
      </c>
      <c r="D830" s="54">
        <f t="shared" si="25"/>
        <v>43036.390306666668</v>
      </c>
      <c r="E830" s="63">
        <v>43036</v>
      </c>
      <c r="F830" s="61">
        <v>0.34864000000000001</v>
      </c>
      <c r="G830" s="63">
        <v>43036</v>
      </c>
      <c r="H830" s="61">
        <v>0.39030666666666669</v>
      </c>
      <c r="I830" s="55">
        <v>30</v>
      </c>
      <c r="J830" s="56" t="s">
        <v>227</v>
      </c>
      <c r="K830" s="75" t="s">
        <v>231</v>
      </c>
      <c r="L830" s="70">
        <v>0</v>
      </c>
    </row>
    <row r="831" spans="1:12" ht="15" customHeight="1">
      <c r="A831" s="53" t="s">
        <v>219</v>
      </c>
      <c r="B831" s="53" t="s">
        <v>42</v>
      </c>
      <c r="C831" s="54">
        <f t="shared" si="24"/>
        <v>42955.562330000001</v>
      </c>
      <c r="D831" s="54">
        <f t="shared" si="25"/>
        <v>42955.603996666665</v>
      </c>
      <c r="E831" s="63">
        <v>42955</v>
      </c>
      <c r="F831" s="61">
        <v>0.56233</v>
      </c>
      <c r="G831" s="63">
        <v>42955</v>
      </c>
      <c r="H831" s="61">
        <v>0.60399666666666663</v>
      </c>
      <c r="I831" s="55">
        <v>30</v>
      </c>
      <c r="J831" s="56" t="s">
        <v>232</v>
      </c>
      <c r="K831" s="75" t="s">
        <v>231</v>
      </c>
      <c r="L831" s="70">
        <v>0</v>
      </c>
    </row>
    <row r="832" spans="1:12" ht="15" customHeight="1">
      <c r="A832" s="53" t="s">
        <v>217</v>
      </c>
      <c r="B832" s="53" t="s">
        <v>43</v>
      </c>
      <c r="C832" s="54">
        <f t="shared" si="24"/>
        <v>42844.586719999999</v>
      </c>
      <c r="D832" s="54">
        <f t="shared" si="25"/>
        <v>42844.628386666664</v>
      </c>
      <c r="E832" s="63">
        <v>42844</v>
      </c>
      <c r="F832" s="61">
        <v>0.58672000000000002</v>
      </c>
      <c r="G832" s="63">
        <v>42844</v>
      </c>
      <c r="H832" s="61">
        <v>0.62838666666666665</v>
      </c>
      <c r="I832" s="55">
        <v>30</v>
      </c>
      <c r="J832" s="56" t="s">
        <v>232</v>
      </c>
      <c r="K832" s="75" t="s">
        <v>230</v>
      </c>
      <c r="L832" s="70">
        <v>0</v>
      </c>
    </row>
    <row r="833" spans="1:12" ht="15" customHeight="1">
      <c r="A833" s="53" t="s">
        <v>219</v>
      </c>
      <c r="B833" s="53" t="s">
        <v>44</v>
      </c>
      <c r="C833" s="54">
        <f t="shared" si="24"/>
        <v>42866.513830000004</v>
      </c>
      <c r="D833" s="54">
        <f t="shared" si="25"/>
        <v>42866.555496666668</v>
      </c>
      <c r="E833" s="63">
        <v>42866</v>
      </c>
      <c r="F833" s="61">
        <v>0.51383000000000001</v>
      </c>
      <c r="G833" s="63">
        <v>42866</v>
      </c>
      <c r="H833" s="61">
        <v>0.55549666666666664</v>
      </c>
      <c r="I833" s="55">
        <v>30</v>
      </c>
      <c r="J833" s="56" t="s">
        <v>227</v>
      </c>
      <c r="K833" s="75" t="s">
        <v>230</v>
      </c>
      <c r="L833" s="70">
        <v>0</v>
      </c>
    </row>
    <row r="834" spans="1:12" ht="15" customHeight="1">
      <c r="A834" s="53" t="s">
        <v>220</v>
      </c>
      <c r="B834" s="53" t="s">
        <v>45</v>
      </c>
      <c r="C834" s="54">
        <f t="shared" si="24"/>
        <v>42944.497309999999</v>
      </c>
      <c r="D834" s="54">
        <f t="shared" si="25"/>
        <v>42944.538976666663</v>
      </c>
      <c r="E834" s="63">
        <v>42944</v>
      </c>
      <c r="F834" s="61">
        <v>0.49730999999999997</v>
      </c>
      <c r="G834" s="63">
        <v>42944</v>
      </c>
      <c r="H834" s="61">
        <v>0.53897666666666666</v>
      </c>
      <c r="I834" s="55">
        <v>30</v>
      </c>
      <c r="J834" s="56" t="s">
        <v>232</v>
      </c>
      <c r="K834" s="75" t="s">
        <v>231</v>
      </c>
      <c r="L834" s="70">
        <v>0</v>
      </c>
    </row>
    <row r="835" spans="1:12" ht="15" customHeight="1">
      <c r="A835" s="53" t="s">
        <v>218</v>
      </c>
      <c r="B835" s="53" t="s">
        <v>46</v>
      </c>
      <c r="C835" s="54">
        <f t="shared" ref="C835:C898" si="26">E835+F835</f>
        <v>43039.47077</v>
      </c>
      <c r="D835" s="54">
        <f t="shared" ref="D835:D898" si="27">G835+H835</f>
        <v>43039.512436666664</v>
      </c>
      <c r="E835" s="63">
        <v>43039</v>
      </c>
      <c r="F835" s="61">
        <v>0.47077000000000002</v>
      </c>
      <c r="G835" s="63">
        <v>43039</v>
      </c>
      <c r="H835" s="61">
        <v>0.51243666666666665</v>
      </c>
      <c r="I835" s="55">
        <v>30</v>
      </c>
      <c r="J835" s="56" t="s">
        <v>227</v>
      </c>
      <c r="K835" s="75" t="s">
        <v>231</v>
      </c>
      <c r="L835" s="70">
        <v>0</v>
      </c>
    </row>
    <row r="836" spans="1:12" ht="15" customHeight="1">
      <c r="A836" s="53" t="s">
        <v>220</v>
      </c>
      <c r="B836" s="53" t="s">
        <v>47</v>
      </c>
      <c r="C836" s="54">
        <f t="shared" si="26"/>
        <v>42878.543599999997</v>
      </c>
      <c r="D836" s="54">
        <f t="shared" si="27"/>
        <v>42878.585266666669</v>
      </c>
      <c r="E836" s="63">
        <v>42878</v>
      </c>
      <c r="F836" s="61">
        <v>0.54359999999999997</v>
      </c>
      <c r="G836" s="63">
        <v>42878</v>
      </c>
      <c r="H836" s="61">
        <v>0.5852666666666666</v>
      </c>
      <c r="I836" s="55">
        <v>30</v>
      </c>
      <c r="J836" s="56" t="s">
        <v>227</v>
      </c>
      <c r="K836" s="75" t="s">
        <v>230</v>
      </c>
      <c r="L836" s="70">
        <v>0</v>
      </c>
    </row>
    <row r="837" spans="1:12" ht="15" customHeight="1">
      <c r="A837" s="53" t="s">
        <v>219</v>
      </c>
      <c r="B837" s="53" t="s">
        <v>48</v>
      </c>
      <c r="C837" s="54">
        <f t="shared" si="26"/>
        <v>43028.515469999998</v>
      </c>
      <c r="D837" s="54">
        <f t="shared" si="27"/>
        <v>43028.55713666667</v>
      </c>
      <c r="E837" s="63">
        <v>43028</v>
      </c>
      <c r="F837" s="61">
        <v>0.51546999999999998</v>
      </c>
      <c r="G837" s="63">
        <v>43028</v>
      </c>
      <c r="H837" s="61">
        <v>0.55713666666666661</v>
      </c>
      <c r="I837" s="55">
        <v>30</v>
      </c>
      <c r="J837" s="56" t="s">
        <v>229</v>
      </c>
      <c r="K837" s="75" t="s">
        <v>228</v>
      </c>
      <c r="L837" s="70">
        <v>0</v>
      </c>
    </row>
    <row r="838" spans="1:12" ht="15" customHeight="1">
      <c r="A838" s="53" t="s">
        <v>218</v>
      </c>
      <c r="B838" s="53" t="s">
        <v>49</v>
      </c>
      <c r="C838" s="54">
        <f t="shared" si="26"/>
        <v>42939.548130000003</v>
      </c>
      <c r="D838" s="54">
        <f t="shared" si="27"/>
        <v>42939.589796666667</v>
      </c>
      <c r="E838" s="63">
        <v>42939</v>
      </c>
      <c r="F838" s="61">
        <v>0.54813000000000001</v>
      </c>
      <c r="G838" s="63">
        <v>42939</v>
      </c>
      <c r="H838" s="61">
        <v>0.58979666666666664</v>
      </c>
      <c r="I838" s="55">
        <v>30</v>
      </c>
      <c r="J838" s="56" t="s">
        <v>229</v>
      </c>
      <c r="K838" s="75" t="s">
        <v>228</v>
      </c>
      <c r="L838" s="70">
        <v>0</v>
      </c>
    </row>
    <row r="839" spans="1:12" ht="15" customHeight="1">
      <c r="A839" s="53" t="s">
        <v>219</v>
      </c>
      <c r="B839" s="53" t="s">
        <v>50</v>
      </c>
      <c r="C839" s="54">
        <f t="shared" si="26"/>
        <v>42807.742259999999</v>
      </c>
      <c r="D839" s="54">
        <f t="shared" si="27"/>
        <v>42807.783926666663</v>
      </c>
      <c r="E839" s="63">
        <v>42807</v>
      </c>
      <c r="F839" s="61">
        <v>0.74226000000000003</v>
      </c>
      <c r="G839" s="63">
        <v>42807</v>
      </c>
      <c r="H839" s="61">
        <v>0.78392666666666666</v>
      </c>
      <c r="I839" s="55">
        <v>30</v>
      </c>
      <c r="J839" s="56" t="s">
        <v>232</v>
      </c>
      <c r="K839" s="75" t="s">
        <v>230</v>
      </c>
      <c r="L839" s="70">
        <v>0</v>
      </c>
    </row>
    <row r="840" spans="1:12" ht="15" customHeight="1">
      <c r="A840" s="53" t="s">
        <v>220</v>
      </c>
      <c r="B840" s="53" t="s">
        <v>51</v>
      </c>
      <c r="C840" s="54">
        <f t="shared" si="26"/>
        <v>42876.7359</v>
      </c>
      <c r="D840" s="54">
        <f t="shared" si="27"/>
        <v>42876.777566666664</v>
      </c>
      <c r="E840" s="63">
        <v>42876</v>
      </c>
      <c r="F840" s="61">
        <v>0.7359</v>
      </c>
      <c r="G840" s="63">
        <v>42876</v>
      </c>
      <c r="H840" s="61">
        <v>0.77756666666666663</v>
      </c>
      <c r="I840" s="55">
        <v>30</v>
      </c>
      <c r="J840" s="56" t="s">
        <v>232</v>
      </c>
      <c r="K840" s="75" t="s">
        <v>228</v>
      </c>
      <c r="L840" s="70">
        <v>0</v>
      </c>
    </row>
    <row r="841" spans="1:12" ht="15" customHeight="1">
      <c r="A841" s="53" t="s">
        <v>219</v>
      </c>
      <c r="B841" s="53" t="s">
        <v>52</v>
      </c>
      <c r="C841" s="54">
        <f t="shared" si="26"/>
        <v>42845.697220000002</v>
      </c>
      <c r="D841" s="54">
        <f t="shared" si="27"/>
        <v>42845.738886666666</v>
      </c>
      <c r="E841" s="63">
        <v>42845</v>
      </c>
      <c r="F841" s="61">
        <v>0.69721999999999995</v>
      </c>
      <c r="G841" s="63">
        <v>42845</v>
      </c>
      <c r="H841" s="61">
        <v>0.73888666666666658</v>
      </c>
      <c r="I841" s="55">
        <v>30</v>
      </c>
      <c r="J841" s="56" t="s">
        <v>232</v>
      </c>
      <c r="K841" s="75" t="s">
        <v>231</v>
      </c>
      <c r="L841" s="70">
        <v>0</v>
      </c>
    </row>
    <row r="842" spans="1:12" ht="15" customHeight="1">
      <c r="A842" s="53" t="s">
        <v>217</v>
      </c>
      <c r="B842" s="53" t="s">
        <v>53</v>
      </c>
      <c r="C842" s="54">
        <f t="shared" si="26"/>
        <v>42983.611239999998</v>
      </c>
      <c r="D842" s="54">
        <f t="shared" si="27"/>
        <v>42983.65290666667</v>
      </c>
      <c r="E842" s="63">
        <v>42983</v>
      </c>
      <c r="F842" s="61">
        <v>0.61124000000000001</v>
      </c>
      <c r="G842" s="63">
        <v>42983</v>
      </c>
      <c r="H842" s="61">
        <v>0.65290666666666664</v>
      </c>
      <c r="I842" s="55">
        <v>30</v>
      </c>
      <c r="J842" s="56" t="s">
        <v>229</v>
      </c>
      <c r="K842" s="75" t="s">
        <v>228</v>
      </c>
      <c r="L842" s="70">
        <v>0</v>
      </c>
    </row>
    <row r="843" spans="1:12" ht="15" customHeight="1">
      <c r="A843" s="53" t="s">
        <v>219</v>
      </c>
      <c r="B843" s="53" t="s">
        <v>54</v>
      </c>
      <c r="C843" s="54">
        <f t="shared" si="26"/>
        <v>42828.673649999997</v>
      </c>
      <c r="D843" s="54">
        <f t="shared" si="27"/>
        <v>42828.715316666669</v>
      </c>
      <c r="E843" s="63">
        <v>42828</v>
      </c>
      <c r="F843" s="61">
        <v>0.67364999999999997</v>
      </c>
      <c r="G843" s="63">
        <v>42828</v>
      </c>
      <c r="H843" s="61">
        <v>0.7153166666666666</v>
      </c>
      <c r="I843" s="55">
        <v>30</v>
      </c>
      <c r="J843" s="56" t="s">
        <v>227</v>
      </c>
      <c r="K843" s="75" t="s">
        <v>230</v>
      </c>
      <c r="L843" s="70">
        <v>0</v>
      </c>
    </row>
    <row r="844" spans="1:12" ht="15" customHeight="1">
      <c r="A844" s="53" t="s">
        <v>220</v>
      </c>
      <c r="B844" s="53" t="s">
        <v>55</v>
      </c>
      <c r="C844" s="54">
        <f t="shared" si="26"/>
        <v>43005.703269999998</v>
      </c>
      <c r="D844" s="54">
        <f t="shared" si="27"/>
        <v>43005.74493666667</v>
      </c>
      <c r="E844" s="63">
        <v>43005</v>
      </c>
      <c r="F844" s="61">
        <v>0.70326999999999995</v>
      </c>
      <c r="G844" s="63">
        <v>43005</v>
      </c>
      <c r="H844" s="61">
        <v>0.74493666666666658</v>
      </c>
      <c r="I844" s="55">
        <v>30</v>
      </c>
      <c r="J844" s="56" t="s">
        <v>229</v>
      </c>
      <c r="K844" s="75" t="s">
        <v>231</v>
      </c>
      <c r="L844" s="70">
        <v>0</v>
      </c>
    </row>
    <row r="845" spans="1:12" ht="15" customHeight="1">
      <c r="A845" s="53" t="s">
        <v>216</v>
      </c>
      <c r="B845" s="53" t="s">
        <v>56</v>
      </c>
      <c r="C845" s="54">
        <f t="shared" si="26"/>
        <v>42948.334600000002</v>
      </c>
      <c r="D845" s="54">
        <f t="shared" si="27"/>
        <v>42948.376266666666</v>
      </c>
      <c r="E845" s="63">
        <v>42948</v>
      </c>
      <c r="F845" s="61">
        <v>0.33460000000000001</v>
      </c>
      <c r="G845" s="63">
        <v>42948</v>
      </c>
      <c r="H845" s="61">
        <v>0.37626666666666669</v>
      </c>
      <c r="I845" s="55">
        <v>30</v>
      </c>
      <c r="J845" s="56" t="s">
        <v>227</v>
      </c>
      <c r="K845" s="75" t="s">
        <v>230</v>
      </c>
      <c r="L845" s="70">
        <v>0</v>
      </c>
    </row>
    <row r="846" spans="1:12" ht="15" customHeight="1">
      <c r="A846" s="53" t="s">
        <v>216</v>
      </c>
      <c r="B846" s="53" t="s">
        <v>57</v>
      </c>
      <c r="C846" s="54">
        <f t="shared" si="26"/>
        <v>42848.518490000002</v>
      </c>
      <c r="D846" s="54">
        <f t="shared" si="27"/>
        <v>42848.560156666666</v>
      </c>
      <c r="E846" s="63">
        <v>42848</v>
      </c>
      <c r="F846" s="61">
        <v>0.51849000000000001</v>
      </c>
      <c r="G846" s="63">
        <v>42848</v>
      </c>
      <c r="H846" s="61">
        <v>0.56015666666666664</v>
      </c>
      <c r="I846" s="55">
        <v>30</v>
      </c>
      <c r="J846" s="56" t="s">
        <v>227</v>
      </c>
      <c r="K846" s="75" t="s">
        <v>231</v>
      </c>
      <c r="L846" s="70">
        <v>0</v>
      </c>
    </row>
    <row r="847" spans="1:12" ht="15" customHeight="1">
      <c r="A847" s="53" t="s">
        <v>216</v>
      </c>
      <c r="B847" s="53" t="s">
        <v>58</v>
      </c>
      <c r="C847" s="54">
        <f t="shared" si="26"/>
        <v>42983.331120000003</v>
      </c>
      <c r="D847" s="54">
        <f t="shared" si="27"/>
        <v>42983.372786666667</v>
      </c>
      <c r="E847" s="63">
        <v>42983</v>
      </c>
      <c r="F847" s="61">
        <v>0.33112000000000003</v>
      </c>
      <c r="G847" s="63">
        <v>42983</v>
      </c>
      <c r="H847" s="61">
        <v>0.37278666666666671</v>
      </c>
      <c r="I847" s="55">
        <v>30</v>
      </c>
      <c r="J847" s="56" t="s">
        <v>229</v>
      </c>
      <c r="K847" s="75" t="s">
        <v>231</v>
      </c>
      <c r="L847" s="70">
        <v>0</v>
      </c>
    </row>
    <row r="848" spans="1:12" ht="15" customHeight="1">
      <c r="A848" s="53" t="s">
        <v>216</v>
      </c>
      <c r="B848" s="53" t="s">
        <v>59</v>
      </c>
      <c r="C848" s="54">
        <f t="shared" si="26"/>
        <v>43013.742189999997</v>
      </c>
      <c r="D848" s="54">
        <f t="shared" si="27"/>
        <v>43013.783856666669</v>
      </c>
      <c r="E848" s="63">
        <v>43013</v>
      </c>
      <c r="F848" s="61">
        <v>0.74219000000000002</v>
      </c>
      <c r="G848" s="63">
        <v>43013</v>
      </c>
      <c r="H848" s="61">
        <v>0.78385666666666665</v>
      </c>
      <c r="I848" s="55">
        <v>30</v>
      </c>
      <c r="J848" s="56" t="s">
        <v>229</v>
      </c>
      <c r="K848" s="75" t="s">
        <v>230</v>
      </c>
      <c r="L848" s="70">
        <v>0</v>
      </c>
    </row>
    <row r="849" spans="1:12" ht="15" customHeight="1">
      <c r="A849" s="53" t="s">
        <v>216</v>
      </c>
      <c r="B849" s="53" t="s">
        <v>60</v>
      </c>
      <c r="C849" s="54">
        <f t="shared" si="26"/>
        <v>42897.52418</v>
      </c>
      <c r="D849" s="54">
        <f t="shared" si="27"/>
        <v>42897.565846666665</v>
      </c>
      <c r="E849" s="63">
        <v>42897</v>
      </c>
      <c r="F849" s="61">
        <v>0.52417999999999998</v>
      </c>
      <c r="G849" s="63">
        <v>42897</v>
      </c>
      <c r="H849" s="61">
        <v>0.56584666666666661</v>
      </c>
      <c r="I849" s="55">
        <v>30</v>
      </c>
      <c r="J849" s="56" t="s">
        <v>227</v>
      </c>
      <c r="K849" s="75" t="s">
        <v>228</v>
      </c>
      <c r="L849" s="70">
        <v>0</v>
      </c>
    </row>
    <row r="850" spans="1:12" ht="15" customHeight="1">
      <c r="A850" s="53" t="s">
        <v>218</v>
      </c>
      <c r="B850" s="53" t="s">
        <v>61</v>
      </c>
      <c r="C850" s="54">
        <f t="shared" si="26"/>
        <v>42931.475789999997</v>
      </c>
      <c r="D850" s="54">
        <f t="shared" si="27"/>
        <v>42931.517456666668</v>
      </c>
      <c r="E850" s="63">
        <v>42931</v>
      </c>
      <c r="F850" s="61">
        <v>0.47578999999999999</v>
      </c>
      <c r="G850" s="63">
        <v>42931</v>
      </c>
      <c r="H850" s="61">
        <v>0.51745666666666668</v>
      </c>
      <c r="I850" s="55">
        <v>30</v>
      </c>
      <c r="J850" s="56" t="s">
        <v>232</v>
      </c>
      <c r="K850" s="75" t="s">
        <v>228</v>
      </c>
      <c r="L850" s="70">
        <v>0</v>
      </c>
    </row>
    <row r="851" spans="1:12" ht="15" customHeight="1">
      <c r="A851" s="53" t="s">
        <v>216</v>
      </c>
      <c r="B851" s="53" t="s">
        <v>62</v>
      </c>
      <c r="C851" s="54">
        <f t="shared" si="26"/>
        <v>42854.597900000001</v>
      </c>
      <c r="D851" s="54">
        <f t="shared" si="27"/>
        <v>42854.639566666665</v>
      </c>
      <c r="E851" s="63">
        <v>42854</v>
      </c>
      <c r="F851" s="61">
        <v>0.59789999999999999</v>
      </c>
      <c r="G851" s="63">
        <v>42854</v>
      </c>
      <c r="H851" s="61">
        <v>0.63956666666666662</v>
      </c>
      <c r="I851" s="55">
        <v>30</v>
      </c>
      <c r="J851" s="56" t="s">
        <v>227</v>
      </c>
      <c r="K851" s="75" t="s">
        <v>231</v>
      </c>
      <c r="L851" s="70">
        <v>0</v>
      </c>
    </row>
    <row r="852" spans="1:12" ht="15" customHeight="1">
      <c r="A852" s="53" t="s">
        <v>217</v>
      </c>
      <c r="B852" s="53" t="s">
        <v>63</v>
      </c>
      <c r="C852" s="54">
        <f t="shared" si="26"/>
        <v>42853.315470000001</v>
      </c>
      <c r="D852" s="54">
        <f t="shared" si="27"/>
        <v>42853.357136666666</v>
      </c>
      <c r="E852" s="63">
        <v>42853</v>
      </c>
      <c r="F852" s="61">
        <v>0.31546999999999997</v>
      </c>
      <c r="G852" s="63">
        <v>42853</v>
      </c>
      <c r="H852" s="61">
        <v>0.35713666666666666</v>
      </c>
      <c r="I852" s="55">
        <v>30</v>
      </c>
      <c r="J852" s="56" t="s">
        <v>232</v>
      </c>
      <c r="K852" s="75" t="s">
        <v>231</v>
      </c>
      <c r="L852" s="70">
        <v>0</v>
      </c>
    </row>
    <row r="853" spans="1:12" ht="15" customHeight="1">
      <c r="A853" s="53" t="s">
        <v>220</v>
      </c>
      <c r="B853" s="53" t="s">
        <v>64</v>
      </c>
      <c r="C853" s="54">
        <f t="shared" si="26"/>
        <v>42969.316729999999</v>
      </c>
      <c r="D853" s="54">
        <f t="shared" si="27"/>
        <v>42969.35839666667</v>
      </c>
      <c r="E853" s="63">
        <v>42969</v>
      </c>
      <c r="F853" s="61">
        <v>0.31673000000000001</v>
      </c>
      <c r="G853" s="63">
        <v>42969</v>
      </c>
      <c r="H853" s="61">
        <v>0.3583966666666667</v>
      </c>
      <c r="I853" s="55">
        <v>30</v>
      </c>
      <c r="J853" s="56" t="s">
        <v>232</v>
      </c>
      <c r="K853" s="75" t="s">
        <v>231</v>
      </c>
      <c r="L853" s="70">
        <v>0</v>
      </c>
    </row>
    <row r="854" spans="1:12" ht="15" customHeight="1">
      <c r="A854" s="53" t="s">
        <v>216</v>
      </c>
      <c r="B854" s="53" t="s">
        <v>65</v>
      </c>
      <c r="C854" s="54">
        <f t="shared" si="26"/>
        <v>42885.395579999997</v>
      </c>
      <c r="D854" s="54">
        <f t="shared" si="27"/>
        <v>42885.437246666668</v>
      </c>
      <c r="E854" s="63">
        <v>42885</v>
      </c>
      <c r="F854" s="61">
        <v>0.39557999999999999</v>
      </c>
      <c r="G854" s="63">
        <v>42885</v>
      </c>
      <c r="H854" s="61">
        <v>0.43724666666666667</v>
      </c>
      <c r="I854" s="55">
        <v>30</v>
      </c>
      <c r="J854" s="56" t="s">
        <v>227</v>
      </c>
      <c r="K854" s="75" t="s">
        <v>228</v>
      </c>
      <c r="L854" s="70">
        <v>0</v>
      </c>
    </row>
    <row r="855" spans="1:12" ht="15" customHeight="1">
      <c r="A855" s="53" t="s">
        <v>218</v>
      </c>
      <c r="B855" s="53" t="s">
        <v>66</v>
      </c>
      <c r="C855" s="54">
        <f t="shared" si="26"/>
        <v>42944.587520000001</v>
      </c>
      <c r="D855" s="54">
        <f t="shared" si="27"/>
        <v>42944.629186666665</v>
      </c>
      <c r="E855" s="63">
        <v>42944</v>
      </c>
      <c r="F855" s="61">
        <v>0.58752000000000004</v>
      </c>
      <c r="G855" s="63">
        <v>42944</v>
      </c>
      <c r="H855" s="61">
        <v>0.62918666666666667</v>
      </c>
      <c r="I855" s="55">
        <v>30</v>
      </c>
      <c r="J855" s="56" t="s">
        <v>232</v>
      </c>
      <c r="K855" s="75" t="s">
        <v>228</v>
      </c>
      <c r="L855" s="70">
        <v>0</v>
      </c>
    </row>
    <row r="856" spans="1:12" ht="15" customHeight="1">
      <c r="A856" s="53" t="s">
        <v>219</v>
      </c>
      <c r="B856" s="53" t="s">
        <v>67</v>
      </c>
      <c r="C856" s="54">
        <f t="shared" si="26"/>
        <v>42921.581380000003</v>
      </c>
      <c r="D856" s="54">
        <f t="shared" si="27"/>
        <v>42921.623046666668</v>
      </c>
      <c r="E856" s="63">
        <v>42921</v>
      </c>
      <c r="F856" s="61">
        <v>0.58138000000000001</v>
      </c>
      <c r="G856" s="63">
        <v>42921</v>
      </c>
      <c r="H856" s="61">
        <v>0.62304666666666664</v>
      </c>
      <c r="I856" s="55">
        <v>30</v>
      </c>
      <c r="J856" s="56" t="s">
        <v>232</v>
      </c>
      <c r="K856" s="75" t="s">
        <v>230</v>
      </c>
      <c r="L856" s="70">
        <v>0</v>
      </c>
    </row>
    <row r="857" spans="1:12" ht="15" customHeight="1">
      <c r="A857" s="53" t="s">
        <v>218</v>
      </c>
      <c r="B857" s="53" t="s">
        <v>68</v>
      </c>
      <c r="C857" s="54">
        <f t="shared" si="26"/>
        <v>42797.625240000001</v>
      </c>
      <c r="D857" s="54">
        <f t="shared" si="27"/>
        <v>42797.666906666665</v>
      </c>
      <c r="E857" s="63">
        <v>42797</v>
      </c>
      <c r="F857" s="61">
        <v>0.62524000000000002</v>
      </c>
      <c r="G857" s="63">
        <v>42797</v>
      </c>
      <c r="H857" s="61">
        <v>0.66690666666666665</v>
      </c>
      <c r="I857" s="55">
        <v>30</v>
      </c>
      <c r="J857" s="56" t="s">
        <v>229</v>
      </c>
      <c r="K857" s="75" t="s">
        <v>231</v>
      </c>
      <c r="L857" s="70">
        <v>0</v>
      </c>
    </row>
    <row r="858" spans="1:12" ht="15" customHeight="1">
      <c r="A858" s="53" t="s">
        <v>219</v>
      </c>
      <c r="B858" s="53" t="s">
        <v>69</v>
      </c>
      <c r="C858" s="54">
        <f t="shared" si="26"/>
        <v>43069.58711</v>
      </c>
      <c r="D858" s="54">
        <f t="shared" si="27"/>
        <v>43069.628776666665</v>
      </c>
      <c r="E858" s="63">
        <v>43069</v>
      </c>
      <c r="F858" s="61">
        <v>0.58711000000000002</v>
      </c>
      <c r="G858" s="63">
        <v>43069</v>
      </c>
      <c r="H858" s="61">
        <v>0.62877666666666665</v>
      </c>
      <c r="I858" s="55">
        <v>30</v>
      </c>
      <c r="J858" s="56" t="s">
        <v>232</v>
      </c>
      <c r="K858" s="75" t="s">
        <v>228</v>
      </c>
      <c r="L858" s="70">
        <v>0</v>
      </c>
    </row>
    <row r="859" spans="1:12" ht="15" customHeight="1">
      <c r="A859" s="53" t="s">
        <v>218</v>
      </c>
      <c r="B859" s="53" t="s">
        <v>70</v>
      </c>
      <c r="C859" s="54">
        <f t="shared" si="26"/>
        <v>42899.65281</v>
      </c>
      <c r="D859" s="54">
        <f t="shared" si="27"/>
        <v>42899.694476666664</v>
      </c>
      <c r="E859" s="63">
        <v>42899</v>
      </c>
      <c r="F859" s="61">
        <v>0.65281</v>
      </c>
      <c r="G859" s="63">
        <v>42899</v>
      </c>
      <c r="H859" s="61">
        <v>0.69447666666666663</v>
      </c>
      <c r="I859" s="55">
        <v>30</v>
      </c>
      <c r="J859" s="56" t="s">
        <v>227</v>
      </c>
      <c r="K859" s="75" t="s">
        <v>228</v>
      </c>
      <c r="L859" s="70">
        <v>0</v>
      </c>
    </row>
    <row r="860" spans="1:12" ht="15" customHeight="1">
      <c r="A860" s="53" t="s">
        <v>216</v>
      </c>
      <c r="B860" s="53" t="s">
        <v>71</v>
      </c>
      <c r="C860" s="54">
        <f t="shared" si="26"/>
        <v>42770.544249999999</v>
      </c>
      <c r="D860" s="54">
        <f t="shared" si="27"/>
        <v>42770.585916666663</v>
      </c>
      <c r="E860" s="63">
        <v>42770</v>
      </c>
      <c r="F860" s="61">
        <v>0.54425000000000001</v>
      </c>
      <c r="G860" s="63">
        <v>42770</v>
      </c>
      <c r="H860" s="61">
        <v>0.58591666666666664</v>
      </c>
      <c r="I860" s="55">
        <v>30</v>
      </c>
      <c r="J860" s="56" t="s">
        <v>229</v>
      </c>
      <c r="K860" s="75" t="s">
        <v>230</v>
      </c>
      <c r="L860" s="70">
        <v>0</v>
      </c>
    </row>
    <row r="861" spans="1:12" ht="15" customHeight="1">
      <c r="A861" s="53" t="s">
        <v>219</v>
      </c>
      <c r="B861" s="57" t="s">
        <v>72</v>
      </c>
      <c r="C861" s="54">
        <f t="shared" si="26"/>
        <v>43038.329579999998</v>
      </c>
      <c r="D861" s="54">
        <f t="shared" si="27"/>
        <v>43038.371246666669</v>
      </c>
      <c r="E861" s="63">
        <v>43038</v>
      </c>
      <c r="F861" s="61">
        <v>0.32957999999999998</v>
      </c>
      <c r="G861" s="63">
        <v>43038</v>
      </c>
      <c r="H861" s="61">
        <v>0.37124666666666667</v>
      </c>
      <c r="I861" s="55">
        <v>30</v>
      </c>
      <c r="J861" s="56" t="s">
        <v>227</v>
      </c>
      <c r="K861" s="75" t="s">
        <v>231</v>
      </c>
      <c r="L861" s="70">
        <v>0</v>
      </c>
    </row>
    <row r="862" spans="1:12" ht="15" customHeight="1">
      <c r="A862" s="53" t="s">
        <v>220</v>
      </c>
      <c r="B862" s="53" t="s">
        <v>73</v>
      </c>
      <c r="C862" s="54">
        <f t="shared" si="26"/>
        <v>43048.517570000004</v>
      </c>
      <c r="D862" s="54">
        <f t="shared" si="27"/>
        <v>43048.559236666668</v>
      </c>
      <c r="E862" s="63">
        <v>43048</v>
      </c>
      <c r="F862" s="61">
        <v>0.51756999999999997</v>
      </c>
      <c r="G862" s="63">
        <v>43048</v>
      </c>
      <c r="H862" s="61">
        <v>0.5592366666666666</v>
      </c>
      <c r="I862" s="55">
        <v>30</v>
      </c>
      <c r="J862" s="56" t="s">
        <v>227</v>
      </c>
      <c r="K862" s="75" t="s">
        <v>230</v>
      </c>
      <c r="L862" s="70">
        <v>0</v>
      </c>
    </row>
    <row r="863" spans="1:12" ht="15" customHeight="1">
      <c r="A863" s="53" t="s">
        <v>216</v>
      </c>
      <c r="B863" s="53" t="s">
        <v>74</v>
      </c>
      <c r="C863" s="54">
        <f t="shared" si="26"/>
        <v>42964.658519999997</v>
      </c>
      <c r="D863" s="54">
        <f t="shared" si="27"/>
        <v>42964.700186666669</v>
      </c>
      <c r="E863" s="63">
        <v>42964</v>
      </c>
      <c r="F863" s="61">
        <v>0.65851999999999999</v>
      </c>
      <c r="G863" s="63">
        <v>42964</v>
      </c>
      <c r="H863" s="61">
        <v>0.70018666666666662</v>
      </c>
      <c r="I863" s="55">
        <v>30</v>
      </c>
      <c r="J863" s="56" t="s">
        <v>229</v>
      </c>
      <c r="K863" s="75" t="s">
        <v>231</v>
      </c>
      <c r="L863" s="70">
        <v>0</v>
      </c>
    </row>
    <row r="864" spans="1:12" ht="15" customHeight="1">
      <c r="A864" s="53" t="s">
        <v>220</v>
      </c>
      <c r="B864" s="53" t="s">
        <v>75</v>
      </c>
      <c r="C864" s="54">
        <f t="shared" si="26"/>
        <v>42864.69902</v>
      </c>
      <c r="D864" s="54">
        <f t="shared" si="27"/>
        <v>42864.740686666664</v>
      </c>
      <c r="E864" s="63">
        <v>42864</v>
      </c>
      <c r="F864" s="61">
        <v>0.69901999999999997</v>
      </c>
      <c r="G864" s="63">
        <v>42864</v>
      </c>
      <c r="H864" s="61">
        <v>0.7406866666666666</v>
      </c>
      <c r="I864" s="55">
        <v>30</v>
      </c>
      <c r="J864" s="56" t="s">
        <v>232</v>
      </c>
      <c r="K864" s="75" t="s">
        <v>228</v>
      </c>
      <c r="L864" s="70">
        <v>0</v>
      </c>
    </row>
    <row r="865" spans="1:12" ht="15" customHeight="1">
      <c r="A865" s="53" t="s">
        <v>219</v>
      </c>
      <c r="B865" s="53" t="s">
        <v>76</v>
      </c>
      <c r="C865" s="54">
        <f t="shared" si="26"/>
        <v>42829.559220000003</v>
      </c>
      <c r="D865" s="54">
        <f t="shared" si="27"/>
        <v>42829.600886666667</v>
      </c>
      <c r="E865" s="63">
        <v>42829</v>
      </c>
      <c r="F865" s="61">
        <v>0.55922000000000005</v>
      </c>
      <c r="G865" s="63">
        <v>42829</v>
      </c>
      <c r="H865" s="61">
        <v>0.60088666666666668</v>
      </c>
      <c r="I865" s="55">
        <v>30</v>
      </c>
      <c r="J865" s="56" t="s">
        <v>229</v>
      </c>
      <c r="K865" s="75" t="s">
        <v>231</v>
      </c>
      <c r="L865" s="70">
        <v>0</v>
      </c>
    </row>
    <row r="866" spans="1:12" ht="15" customHeight="1">
      <c r="A866" s="53" t="s">
        <v>220</v>
      </c>
      <c r="B866" s="53" t="s">
        <v>77</v>
      </c>
      <c r="C866" s="54">
        <f t="shared" si="26"/>
        <v>42789.501640000002</v>
      </c>
      <c r="D866" s="54">
        <f t="shared" si="27"/>
        <v>42789.543306666666</v>
      </c>
      <c r="E866" s="63">
        <v>42789</v>
      </c>
      <c r="F866" s="61">
        <v>0.50163999999999997</v>
      </c>
      <c r="G866" s="63">
        <v>42789</v>
      </c>
      <c r="H866" s="61">
        <v>0.5433066666666666</v>
      </c>
      <c r="I866" s="55">
        <v>30</v>
      </c>
      <c r="J866" s="56" t="s">
        <v>232</v>
      </c>
      <c r="K866" s="75" t="s">
        <v>230</v>
      </c>
      <c r="L866" s="70">
        <v>0</v>
      </c>
    </row>
    <row r="867" spans="1:12" ht="15" customHeight="1">
      <c r="A867" s="53" t="s">
        <v>217</v>
      </c>
      <c r="B867" s="53" t="s">
        <v>78</v>
      </c>
      <c r="C867" s="54">
        <f t="shared" si="26"/>
        <v>42887.641649999998</v>
      </c>
      <c r="D867" s="54">
        <f t="shared" si="27"/>
        <v>42887.683316666669</v>
      </c>
      <c r="E867" s="63">
        <v>42887</v>
      </c>
      <c r="F867" s="61">
        <v>0.64165000000000005</v>
      </c>
      <c r="G867" s="63">
        <v>42887</v>
      </c>
      <c r="H867" s="61">
        <v>0.68331666666666668</v>
      </c>
      <c r="I867" s="55">
        <v>30</v>
      </c>
      <c r="J867" s="56" t="s">
        <v>232</v>
      </c>
      <c r="K867" s="75" t="s">
        <v>231</v>
      </c>
      <c r="L867" s="70">
        <v>0</v>
      </c>
    </row>
    <row r="868" spans="1:12" ht="15" customHeight="1">
      <c r="A868" s="53" t="s">
        <v>217</v>
      </c>
      <c r="B868" s="53" t="s">
        <v>79</v>
      </c>
      <c r="C868" s="54">
        <f t="shared" si="26"/>
        <v>42838.52519</v>
      </c>
      <c r="D868" s="54">
        <f t="shared" si="27"/>
        <v>42838.566856666665</v>
      </c>
      <c r="E868" s="63">
        <v>42838</v>
      </c>
      <c r="F868" s="61">
        <v>0.52519000000000005</v>
      </c>
      <c r="G868" s="63">
        <v>42838</v>
      </c>
      <c r="H868" s="61">
        <v>0.56685666666666668</v>
      </c>
      <c r="I868" s="55">
        <v>30</v>
      </c>
      <c r="J868" s="56" t="s">
        <v>232</v>
      </c>
      <c r="K868" s="75" t="s">
        <v>231</v>
      </c>
      <c r="L868" s="70">
        <v>0</v>
      </c>
    </row>
    <row r="869" spans="1:12" ht="15" customHeight="1">
      <c r="A869" s="53" t="s">
        <v>216</v>
      </c>
      <c r="B869" s="53" t="s">
        <v>80</v>
      </c>
      <c r="C869" s="54">
        <f t="shared" si="26"/>
        <v>42902.415480000003</v>
      </c>
      <c r="D869" s="54">
        <f t="shared" si="27"/>
        <v>42902.457146666668</v>
      </c>
      <c r="E869" s="63">
        <v>42902</v>
      </c>
      <c r="F869" s="61">
        <v>0.41548000000000002</v>
      </c>
      <c r="G869" s="63">
        <v>42902</v>
      </c>
      <c r="H869" s="61">
        <v>0.4571466666666667</v>
      </c>
      <c r="I869" s="55">
        <v>30</v>
      </c>
      <c r="J869" s="56" t="s">
        <v>232</v>
      </c>
      <c r="K869" s="75" t="s">
        <v>228</v>
      </c>
      <c r="L869" s="70">
        <v>0</v>
      </c>
    </row>
    <row r="870" spans="1:12" ht="15" customHeight="1">
      <c r="A870" s="53" t="s">
        <v>217</v>
      </c>
      <c r="B870" s="53" t="s">
        <v>81</v>
      </c>
      <c r="C870" s="54">
        <f t="shared" si="26"/>
        <v>42834.496760000002</v>
      </c>
      <c r="D870" s="54">
        <f t="shared" si="27"/>
        <v>42834.538426666666</v>
      </c>
      <c r="E870" s="63">
        <v>42834</v>
      </c>
      <c r="F870" s="61">
        <v>0.49675999999999998</v>
      </c>
      <c r="G870" s="63">
        <v>42834</v>
      </c>
      <c r="H870" s="61">
        <v>0.53842666666666661</v>
      </c>
      <c r="I870" s="55">
        <v>30</v>
      </c>
      <c r="J870" s="56" t="s">
        <v>227</v>
      </c>
      <c r="K870" s="75" t="s">
        <v>231</v>
      </c>
      <c r="L870" s="70">
        <v>0</v>
      </c>
    </row>
    <row r="871" spans="1:12" ht="15" customHeight="1">
      <c r="A871" s="53" t="s">
        <v>220</v>
      </c>
      <c r="B871" s="53" t="s">
        <v>82</v>
      </c>
      <c r="C871" s="54">
        <f t="shared" si="26"/>
        <v>42961.32735</v>
      </c>
      <c r="D871" s="54">
        <f t="shared" si="27"/>
        <v>42961.369016666664</v>
      </c>
      <c r="E871" s="63">
        <v>42961</v>
      </c>
      <c r="F871" s="61">
        <v>0.32734999999999997</v>
      </c>
      <c r="G871" s="63">
        <v>42961</v>
      </c>
      <c r="H871" s="61">
        <v>0.36901666666666666</v>
      </c>
      <c r="I871" s="55">
        <v>30</v>
      </c>
      <c r="J871" s="56" t="s">
        <v>229</v>
      </c>
      <c r="K871" s="75" t="s">
        <v>231</v>
      </c>
      <c r="L871" s="70">
        <v>0</v>
      </c>
    </row>
    <row r="872" spans="1:12" ht="15" customHeight="1">
      <c r="A872" s="53" t="s">
        <v>218</v>
      </c>
      <c r="B872" s="53" t="s">
        <v>83</v>
      </c>
      <c r="C872" s="54">
        <f t="shared" si="26"/>
        <v>42810.673600000002</v>
      </c>
      <c r="D872" s="54">
        <f t="shared" si="27"/>
        <v>42810.715266666666</v>
      </c>
      <c r="E872" s="63">
        <v>42810</v>
      </c>
      <c r="F872" s="61">
        <v>0.67359999999999998</v>
      </c>
      <c r="G872" s="63">
        <v>42810</v>
      </c>
      <c r="H872" s="61">
        <v>0.71526666666666661</v>
      </c>
      <c r="I872" s="55">
        <v>30</v>
      </c>
      <c r="J872" s="56" t="s">
        <v>229</v>
      </c>
      <c r="K872" s="75" t="s">
        <v>228</v>
      </c>
      <c r="L872" s="70">
        <v>0</v>
      </c>
    </row>
    <row r="873" spans="1:12" ht="15" customHeight="1">
      <c r="A873" s="53" t="s">
        <v>220</v>
      </c>
      <c r="B873" s="53" t="s">
        <v>84</v>
      </c>
      <c r="C873" s="54">
        <f t="shared" si="26"/>
        <v>42788.733339999999</v>
      </c>
      <c r="D873" s="54">
        <f t="shared" si="27"/>
        <v>42788.775006666663</v>
      </c>
      <c r="E873" s="63">
        <v>42788</v>
      </c>
      <c r="F873" s="61">
        <v>0.73333999999999999</v>
      </c>
      <c r="G873" s="63">
        <v>42788</v>
      </c>
      <c r="H873" s="61">
        <v>0.77500666666666662</v>
      </c>
      <c r="I873" s="55">
        <v>30</v>
      </c>
      <c r="J873" s="56" t="s">
        <v>229</v>
      </c>
      <c r="K873" s="75" t="s">
        <v>230</v>
      </c>
      <c r="L873" s="70">
        <v>0</v>
      </c>
    </row>
    <row r="874" spans="1:12" ht="15" customHeight="1">
      <c r="A874" s="53" t="s">
        <v>218</v>
      </c>
      <c r="B874" s="53" t="s">
        <v>85</v>
      </c>
      <c r="C874" s="54">
        <f t="shared" si="26"/>
        <v>42854.36464</v>
      </c>
      <c r="D874" s="54">
        <f t="shared" si="27"/>
        <v>42854.406306666664</v>
      </c>
      <c r="E874" s="63">
        <v>42854</v>
      </c>
      <c r="F874" s="61">
        <v>0.36464000000000002</v>
      </c>
      <c r="G874" s="63">
        <v>42854</v>
      </c>
      <c r="H874" s="61">
        <v>0.4063066666666667</v>
      </c>
      <c r="I874" s="55">
        <v>30</v>
      </c>
      <c r="J874" s="56" t="s">
        <v>227</v>
      </c>
      <c r="K874" s="75" t="s">
        <v>230</v>
      </c>
      <c r="L874" s="70">
        <v>0</v>
      </c>
    </row>
    <row r="875" spans="1:12" ht="15" customHeight="1">
      <c r="A875" s="53" t="s">
        <v>219</v>
      </c>
      <c r="B875" s="53" t="s">
        <v>86</v>
      </c>
      <c r="C875" s="54">
        <f t="shared" si="26"/>
        <v>43074.598189999997</v>
      </c>
      <c r="D875" s="54">
        <f t="shared" si="27"/>
        <v>43074.639856666668</v>
      </c>
      <c r="E875" s="63">
        <v>43074</v>
      </c>
      <c r="F875" s="61">
        <v>0.59819</v>
      </c>
      <c r="G875" s="63">
        <v>43074</v>
      </c>
      <c r="H875" s="61">
        <v>0.63985666666666663</v>
      </c>
      <c r="I875" s="55">
        <v>30</v>
      </c>
      <c r="J875" s="56" t="s">
        <v>232</v>
      </c>
      <c r="K875" s="75" t="s">
        <v>228</v>
      </c>
      <c r="L875" s="70">
        <v>0</v>
      </c>
    </row>
    <row r="876" spans="1:12" ht="15" customHeight="1">
      <c r="A876" s="53" t="s">
        <v>217</v>
      </c>
      <c r="B876" s="53" t="s">
        <v>87</v>
      </c>
      <c r="C876" s="54">
        <f t="shared" si="26"/>
        <v>42742.544379999999</v>
      </c>
      <c r="D876" s="54">
        <f t="shared" si="27"/>
        <v>42742.586046666664</v>
      </c>
      <c r="E876" s="63">
        <v>42742</v>
      </c>
      <c r="F876" s="61">
        <v>0.54437999999999998</v>
      </c>
      <c r="G876" s="63">
        <v>42742</v>
      </c>
      <c r="H876" s="61">
        <v>0.5860466666666666</v>
      </c>
      <c r="I876" s="55">
        <v>30</v>
      </c>
      <c r="J876" s="56" t="s">
        <v>229</v>
      </c>
      <c r="K876" s="75" t="s">
        <v>228</v>
      </c>
      <c r="L876" s="70">
        <v>0</v>
      </c>
    </row>
    <row r="877" spans="1:12" ht="15" customHeight="1">
      <c r="A877" s="53" t="s">
        <v>220</v>
      </c>
      <c r="B877" s="53" t="s">
        <v>88</v>
      </c>
      <c r="C877" s="54">
        <f t="shared" si="26"/>
        <v>42845.479729999999</v>
      </c>
      <c r="D877" s="54">
        <f t="shared" si="27"/>
        <v>42845.521396666663</v>
      </c>
      <c r="E877" s="63">
        <v>42845</v>
      </c>
      <c r="F877" s="61">
        <v>0.47972999999999999</v>
      </c>
      <c r="G877" s="63">
        <v>42845</v>
      </c>
      <c r="H877" s="61">
        <v>0.52139666666666662</v>
      </c>
      <c r="I877" s="55">
        <v>30</v>
      </c>
      <c r="J877" s="56" t="s">
        <v>232</v>
      </c>
      <c r="K877" s="75" t="s">
        <v>230</v>
      </c>
      <c r="L877" s="70">
        <v>0</v>
      </c>
    </row>
    <row r="878" spans="1:12" ht="15" customHeight="1">
      <c r="A878" s="53" t="s">
        <v>217</v>
      </c>
      <c r="B878" s="53" t="s">
        <v>89</v>
      </c>
      <c r="C878" s="54">
        <f t="shared" si="26"/>
        <v>42920.611709999997</v>
      </c>
      <c r="D878" s="54">
        <f t="shared" si="27"/>
        <v>42920.653376666669</v>
      </c>
      <c r="E878" s="63">
        <v>42920</v>
      </c>
      <c r="F878" s="61">
        <v>0.61170999999999998</v>
      </c>
      <c r="G878" s="63">
        <v>42920</v>
      </c>
      <c r="H878" s="61">
        <v>0.65337666666666661</v>
      </c>
      <c r="I878" s="55">
        <v>30</v>
      </c>
      <c r="J878" s="56" t="s">
        <v>229</v>
      </c>
      <c r="K878" s="75" t="s">
        <v>231</v>
      </c>
      <c r="L878" s="70">
        <v>0</v>
      </c>
    </row>
    <row r="879" spans="1:12" ht="15" customHeight="1">
      <c r="A879" s="53" t="s">
        <v>220</v>
      </c>
      <c r="B879" s="53" t="s">
        <v>90</v>
      </c>
      <c r="C879" s="54">
        <f t="shared" si="26"/>
        <v>42772.367709999999</v>
      </c>
      <c r="D879" s="54">
        <f t="shared" si="27"/>
        <v>42772.40937666667</v>
      </c>
      <c r="E879" s="63">
        <v>42772</v>
      </c>
      <c r="F879" s="61">
        <v>0.36770999999999998</v>
      </c>
      <c r="G879" s="63">
        <v>42772</v>
      </c>
      <c r="H879" s="61">
        <v>0.40937666666666667</v>
      </c>
      <c r="I879" s="55">
        <v>30</v>
      </c>
      <c r="J879" s="56" t="s">
        <v>227</v>
      </c>
      <c r="K879" s="75" t="s">
        <v>228</v>
      </c>
      <c r="L879" s="70">
        <v>0</v>
      </c>
    </row>
    <row r="880" spans="1:12" ht="15" customHeight="1">
      <c r="A880" s="53" t="s">
        <v>218</v>
      </c>
      <c r="B880" s="57" t="s">
        <v>91</v>
      </c>
      <c r="C880" s="54">
        <f t="shared" si="26"/>
        <v>42971.536200000002</v>
      </c>
      <c r="D880" s="54">
        <f t="shared" si="27"/>
        <v>42971.577866666667</v>
      </c>
      <c r="E880" s="63">
        <v>42971</v>
      </c>
      <c r="F880" s="61">
        <v>0.53620000000000001</v>
      </c>
      <c r="G880" s="63">
        <v>42971</v>
      </c>
      <c r="H880" s="61">
        <v>0.57786666666666664</v>
      </c>
      <c r="I880" s="55">
        <v>30</v>
      </c>
      <c r="J880" s="56" t="s">
        <v>229</v>
      </c>
      <c r="K880" s="75" t="s">
        <v>230</v>
      </c>
      <c r="L880" s="70">
        <v>0</v>
      </c>
    </row>
    <row r="881" spans="1:12" ht="15" customHeight="1">
      <c r="A881" s="53" t="s">
        <v>218</v>
      </c>
      <c r="B881" s="53" t="s">
        <v>92</v>
      </c>
      <c r="C881" s="54">
        <f t="shared" si="26"/>
        <v>42878.637450000002</v>
      </c>
      <c r="D881" s="54">
        <f t="shared" si="27"/>
        <v>42878.679116666666</v>
      </c>
      <c r="E881" s="63">
        <v>42878</v>
      </c>
      <c r="F881" s="61">
        <v>0.63744999999999996</v>
      </c>
      <c r="G881" s="63">
        <v>42878</v>
      </c>
      <c r="H881" s="61">
        <v>0.67911666666666659</v>
      </c>
      <c r="I881" s="55">
        <v>30</v>
      </c>
      <c r="J881" s="56" t="s">
        <v>227</v>
      </c>
      <c r="K881" s="75" t="s">
        <v>228</v>
      </c>
      <c r="L881" s="70">
        <v>0</v>
      </c>
    </row>
    <row r="882" spans="1:12" ht="15" customHeight="1">
      <c r="A882" s="53" t="s">
        <v>218</v>
      </c>
      <c r="B882" s="53" t="s">
        <v>93</v>
      </c>
      <c r="C882" s="54">
        <f t="shared" si="26"/>
        <v>43054.441149999999</v>
      </c>
      <c r="D882" s="54">
        <f t="shared" si="27"/>
        <v>43054.48281666667</v>
      </c>
      <c r="E882" s="63">
        <v>43054</v>
      </c>
      <c r="F882" s="61">
        <v>0.44114999999999999</v>
      </c>
      <c r="G882" s="63">
        <v>43054</v>
      </c>
      <c r="H882" s="61">
        <v>0.48281666666666667</v>
      </c>
      <c r="I882" s="55">
        <v>30</v>
      </c>
      <c r="J882" s="56" t="s">
        <v>227</v>
      </c>
      <c r="K882" s="75" t="s">
        <v>230</v>
      </c>
      <c r="L882" s="70">
        <v>0</v>
      </c>
    </row>
    <row r="883" spans="1:12" ht="15" customHeight="1">
      <c r="A883" s="53" t="s">
        <v>216</v>
      </c>
      <c r="B883" s="53" t="s">
        <v>94</v>
      </c>
      <c r="C883" s="54">
        <f t="shared" si="26"/>
        <v>42811.531739999999</v>
      </c>
      <c r="D883" s="54">
        <f t="shared" si="27"/>
        <v>42811.57340666667</v>
      </c>
      <c r="E883" s="63">
        <v>42811</v>
      </c>
      <c r="F883" s="61">
        <v>0.53173999999999999</v>
      </c>
      <c r="G883" s="63">
        <v>42811</v>
      </c>
      <c r="H883" s="61">
        <v>0.57340666666666662</v>
      </c>
      <c r="I883" s="55">
        <v>30</v>
      </c>
      <c r="J883" s="56" t="s">
        <v>227</v>
      </c>
      <c r="K883" s="75" t="s">
        <v>231</v>
      </c>
      <c r="L883" s="70">
        <v>0</v>
      </c>
    </row>
    <row r="884" spans="1:12" ht="15" customHeight="1">
      <c r="A884" s="53" t="s">
        <v>219</v>
      </c>
      <c r="B884" s="53" t="s">
        <v>95</v>
      </c>
      <c r="C884" s="54">
        <f t="shared" si="26"/>
        <v>42928.495849999999</v>
      </c>
      <c r="D884" s="54">
        <f t="shared" si="27"/>
        <v>42928.537516666664</v>
      </c>
      <c r="E884" s="63">
        <v>42928</v>
      </c>
      <c r="F884" s="61">
        <v>0.49585000000000001</v>
      </c>
      <c r="G884" s="63">
        <v>42928</v>
      </c>
      <c r="H884" s="61">
        <v>0.53751666666666664</v>
      </c>
      <c r="I884" s="55">
        <v>30</v>
      </c>
      <c r="J884" s="56" t="s">
        <v>227</v>
      </c>
      <c r="K884" s="75" t="s">
        <v>231</v>
      </c>
      <c r="L884" s="70">
        <v>0</v>
      </c>
    </row>
    <row r="885" spans="1:12" ht="15" customHeight="1">
      <c r="A885" s="53" t="s">
        <v>219</v>
      </c>
      <c r="B885" s="53" t="s">
        <v>96</v>
      </c>
      <c r="C885" s="54">
        <f t="shared" si="26"/>
        <v>43044.614099999999</v>
      </c>
      <c r="D885" s="54">
        <f t="shared" si="27"/>
        <v>43044.655766666663</v>
      </c>
      <c r="E885" s="63">
        <v>43044</v>
      </c>
      <c r="F885" s="61">
        <v>0.61409999999999998</v>
      </c>
      <c r="G885" s="63">
        <v>43044</v>
      </c>
      <c r="H885" s="61">
        <v>0.65576666666666661</v>
      </c>
      <c r="I885" s="55">
        <v>30</v>
      </c>
      <c r="J885" s="56" t="s">
        <v>227</v>
      </c>
      <c r="K885" s="75" t="s">
        <v>230</v>
      </c>
      <c r="L885" s="70">
        <v>0</v>
      </c>
    </row>
    <row r="886" spans="1:12" ht="15" customHeight="1">
      <c r="A886" s="53" t="s">
        <v>219</v>
      </c>
      <c r="B886" s="53" t="s">
        <v>97</v>
      </c>
      <c r="C886" s="54">
        <f t="shared" si="26"/>
        <v>42980.586049999998</v>
      </c>
      <c r="D886" s="54">
        <f t="shared" si="27"/>
        <v>42980.62771666667</v>
      </c>
      <c r="E886" s="63">
        <v>42980</v>
      </c>
      <c r="F886" s="61">
        <v>0.58604999999999996</v>
      </c>
      <c r="G886" s="63">
        <v>42980</v>
      </c>
      <c r="H886" s="61">
        <v>0.62771666666666659</v>
      </c>
      <c r="I886" s="55">
        <v>30</v>
      </c>
      <c r="J886" s="56" t="s">
        <v>232</v>
      </c>
      <c r="K886" s="75" t="s">
        <v>231</v>
      </c>
      <c r="L886" s="70">
        <v>0</v>
      </c>
    </row>
    <row r="887" spans="1:12" ht="15" customHeight="1">
      <c r="A887" s="53" t="s">
        <v>220</v>
      </c>
      <c r="B887" s="53" t="s">
        <v>98</v>
      </c>
      <c r="C887" s="54">
        <f t="shared" si="26"/>
        <v>42954.650390000003</v>
      </c>
      <c r="D887" s="54">
        <f t="shared" si="27"/>
        <v>42954.692056666667</v>
      </c>
      <c r="E887" s="63">
        <v>42954</v>
      </c>
      <c r="F887" s="61">
        <v>0.65039000000000002</v>
      </c>
      <c r="G887" s="63">
        <v>42954</v>
      </c>
      <c r="H887" s="61">
        <v>0.69205666666666665</v>
      </c>
      <c r="I887" s="55">
        <v>30</v>
      </c>
      <c r="J887" s="56" t="s">
        <v>227</v>
      </c>
      <c r="K887" s="75" t="s">
        <v>228</v>
      </c>
      <c r="L887" s="70">
        <v>0</v>
      </c>
    </row>
    <row r="888" spans="1:12" ht="15" customHeight="1">
      <c r="A888" s="53" t="s">
        <v>220</v>
      </c>
      <c r="B888" s="53" t="s">
        <v>99</v>
      </c>
      <c r="C888" s="54">
        <f t="shared" si="26"/>
        <v>42816.653209999997</v>
      </c>
      <c r="D888" s="54">
        <f t="shared" si="27"/>
        <v>42816.694876666668</v>
      </c>
      <c r="E888" s="63">
        <v>42816</v>
      </c>
      <c r="F888" s="61">
        <v>0.65320999999999996</v>
      </c>
      <c r="G888" s="63">
        <v>42816</v>
      </c>
      <c r="H888" s="61">
        <v>0.69487666666666659</v>
      </c>
      <c r="I888" s="55">
        <v>30</v>
      </c>
      <c r="J888" s="56" t="s">
        <v>229</v>
      </c>
      <c r="K888" s="75" t="s">
        <v>231</v>
      </c>
      <c r="L888" s="70">
        <v>0</v>
      </c>
    </row>
    <row r="889" spans="1:12" ht="15" customHeight="1">
      <c r="A889" s="53" t="s">
        <v>216</v>
      </c>
      <c r="B889" s="53" t="s">
        <v>100</v>
      </c>
      <c r="C889" s="54">
        <f t="shared" si="26"/>
        <v>42879.510119999999</v>
      </c>
      <c r="D889" s="54">
        <f t="shared" si="27"/>
        <v>42879.551786666663</v>
      </c>
      <c r="E889" s="63">
        <v>42879</v>
      </c>
      <c r="F889" s="61">
        <v>0.51012000000000002</v>
      </c>
      <c r="G889" s="63">
        <v>42879</v>
      </c>
      <c r="H889" s="61">
        <v>0.55178666666666665</v>
      </c>
      <c r="I889" s="55">
        <v>30</v>
      </c>
      <c r="J889" s="56" t="s">
        <v>227</v>
      </c>
      <c r="K889" s="75" t="s">
        <v>230</v>
      </c>
      <c r="L889" s="70">
        <v>0</v>
      </c>
    </row>
    <row r="890" spans="1:12" ht="15" customHeight="1">
      <c r="A890" s="53" t="s">
        <v>220</v>
      </c>
      <c r="B890" s="53" t="s">
        <v>101</v>
      </c>
      <c r="C890" s="54">
        <f t="shared" si="26"/>
        <v>43066.324500000002</v>
      </c>
      <c r="D890" s="54">
        <f t="shared" si="27"/>
        <v>43066.366166666667</v>
      </c>
      <c r="E890" s="63">
        <v>43066</v>
      </c>
      <c r="F890" s="61">
        <v>0.32450000000000001</v>
      </c>
      <c r="G890" s="63">
        <v>43066</v>
      </c>
      <c r="H890" s="61">
        <v>0.3661666666666667</v>
      </c>
      <c r="I890" s="55">
        <v>30</v>
      </c>
      <c r="J890" s="56" t="s">
        <v>229</v>
      </c>
      <c r="K890" s="75" t="s">
        <v>228</v>
      </c>
      <c r="L890" s="70">
        <v>0</v>
      </c>
    </row>
    <row r="891" spans="1:12" ht="15" customHeight="1">
      <c r="A891" s="53" t="s">
        <v>220</v>
      </c>
      <c r="B891" s="53" t="s">
        <v>102</v>
      </c>
      <c r="C891" s="54">
        <f t="shared" si="26"/>
        <v>42954.634989999999</v>
      </c>
      <c r="D891" s="54">
        <f t="shared" si="27"/>
        <v>42954.67665666667</v>
      </c>
      <c r="E891" s="63">
        <v>42954</v>
      </c>
      <c r="F891" s="61">
        <v>0.63499000000000005</v>
      </c>
      <c r="G891" s="63">
        <v>42954</v>
      </c>
      <c r="H891" s="61">
        <v>0.67665666666666668</v>
      </c>
      <c r="I891" s="55">
        <v>30</v>
      </c>
      <c r="J891" s="56" t="s">
        <v>232</v>
      </c>
      <c r="K891" s="75" t="s">
        <v>228</v>
      </c>
      <c r="L891" s="70">
        <v>0</v>
      </c>
    </row>
    <row r="892" spans="1:12" ht="15" customHeight="1">
      <c r="A892" s="53" t="s">
        <v>219</v>
      </c>
      <c r="B892" s="53" t="s">
        <v>103</v>
      </c>
      <c r="C892" s="54">
        <f t="shared" si="26"/>
        <v>43028.347750000001</v>
      </c>
      <c r="D892" s="54">
        <f t="shared" si="27"/>
        <v>43028.389416666665</v>
      </c>
      <c r="E892" s="63">
        <v>43028</v>
      </c>
      <c r="F892" s="61">
        <v>0.34775</v>
      </c>
      <c r="G892" s="63">
        <v>43028</v>
      </c>
      <c r="H892" s="61">
        <v>0.38941666666666669</v>
      </c>
      <c r="I892" s="55">
        <v>30</v>
      </c>
      <c r="J892" s="56" t="s">
        <v>232</v>
      </c>
      <c r="K892" s="75" t="s">
        <v>230</v>
      </c>
      <c r="L892" s="70">
        <v>0</v>
      </c>
    </row>
    <row r="893" spans="1:12" ht="15" customHeight="1">
      <c r="A893" s="53" t="s">
        <v>220</v>
      </c>
      <c r="B893" s="53" t="s">
        <v>104</v>
      </c>
      <c r="C893" s="54">
        <f t="shared" si="26"/>
        <v>42944.535309999999</v>
      </c>
      <c r="D893" s="54">
        <f t="shared" si="27"/>
        <v>42944.576976666664</v>
      </c>
      <c r="E893" s="63">
        <v>42944</v>
      </c>
      <c r="F893" s="61">
        <v>0.53530999999999995</v>
      </c>
      <c r="G893" s="63">
        <v>42944</v>
      </c>
      <c r="H893" s="61">
        <v>0.57697666666666658</v>
      </c>
      <c r="I893" s="55">
        <v>30</v>
      </c>
      <c r="J893" s="56" t="s">
        <v>227</v>
      </c>
      <c r="K893" s="75" t="s">
        <v>231</v>
      </c>
      <c r="L893" s="70">
        <v>0</v>
      </c>
    </row>
    <row r="894" spans="1:12" ht="15" customHeight="1">
      <c r="A894" s="53" t="s">
        <v>218</v>
      </c>
      <c r="B894" s="53" t="s">
        <v>105</v>
      </c>
      <c r="C894" s="54">
        <f t="shared" si="26"/>
        <v>42927.400379999999</v>
      </c>
      <c r="D894" s="54">
        <f t="shared" si="27"/>
        <v>42927.442046666663</v>
      </c>
      <c r="E894" s="63">
        <v>42927</v>
      </c>
      <c r="F894" s="61">
        <v>0.40038000000000001</v>
      </c>
      <c r="G894" s="63">
        <v>42927</v>
      </c>
      <c r="H894" s="61">
        <v>0.4420466666666667</v>
      </c>
      <c r="I894" s="55">
        <v>30</v>
      </c>
      <c r="J894" s="56" t="s">
        <v>229</v>
      </c>
      <c r="K894" s="75" t="s">
        <v>230</v>
      </c>
      <c r="L894" s="70">
        <v>0</v>
      </c>
    </row>
    <row r="895" spans="1:12" ht="15" customHeight="1">
      <c r="A895" s="53" t="s">
        <v>218</v>
      </c>
      <c r="B895" s="53" t="s">
        <v>106</v>
      </c>
      <c r="C895" s="54">
        <f t="shared" si="26"/>
        <v>42771.413180000003</v>
      </c>
      <c r="D895" s="54">
        <f t="shared" si="27"/>
        <v>42771.454846666667</v>
      </c>
      <c r="E895" s="63">
        <v>42771</v>
      </c>
      <c r="F895" s="61">
        <v>0.41317999999999999</v>
      </c>
      <c r="G895" s="63">
        <v>42771</v>
      </c>
      <c r="H895" s="61">
        <v>0.45484666666666668</v>
      </c>
      <c r="I895" s="55">
        <v>30</v>
      </c>
      <c r="J895" s="56" t="s">
        <v>232</v>
      </c>
      <c r="K895" s="75" t="s">
        <v>230</v>
      </c>
      <c r="L895" s="70">
        <v>0</v>
      </c>
    </row>
    <row r="896" spans="1:12" ht="15" customHeight="1">
      <c r="A896" s="53" t="s">
        <v>218</v>
      </c>
      <c r="B896" s="53" t="s">
        <v>107</v>
      </c>
      <c r="C896" s="54">
        <f t="shared" si="26"/>
        <v>43085.37702</v>
      </c>
      <c r="D896" s="54">
        <f t="shared" si="27"/>
        <v>43085.418686666664</v>
      </c>
      <c r="E896" s="63">
        <v>43085</v>
      </c>
      <c r="F896" s="61">
        <v>0.37702000000000002</v>
      </c>
      <c r="G896" s="63">
        <v>43085</v>
      </c>
      <c r="H896" s="61">
        <v>0.41868666666666671</v>
      </c>
      <c r="I896" s="55">
        <v>30</v>
      </c>
      <c r="J896" s="56" t="s">
        <v>227</v>
      </c>
      <c r="K896" s="75" t="s">
        <v>230</v>
      </c>
      <c r="L896" s="70">
        <v>0</v>
      </c>
    </row>
    <row r="897" spans="1:12" ht="15" customHeight="1">
      <c r="A897" s="53" t="s">
        <v>218</v>
      </c>
      <c r="B897" s="53" t="s">
        <v>108</v>
      </c>
      <c r="C897" s="54">
        <f t="shared" si="26"/>
        <v>42892.312769999997</v>
      </c>
      <c r="D897" s="54">
        <f t="shared" si="27"/>
        <v>42892.354436666668</v>
      </c>
      <c r="E897" s="63">
        <v>42892</v>
      </c>
      <c r="F897" s="61">
        <v>0.31276999999999999</v>
      </c>
      <c r="G897" s="63">
        <v>42892</v>
      </c>
      <c r="H897" s="61">
        <v>0.35443666666666668</v>
      </c>
      <c r="I897" s="55">
        <v>30</v>
      </c>
      <c r="J897" s="56" t="s">
        <v>232</v>
      </c>
      <c r="K897" s="75" t="s">
        <v>231</v>
      </c>
      <c r="L897" s="70">
        <v>0</v>
      </c>
    </row>
    <row r="898" spans="1:12" ht="15" customHeight="1">
      <c r="A898" s="53" t="s">
        <v>216</v>
      </c>
      <c r="B898" s="53" t="s">
        <v>109</v>
      </c>
      <c r="C898" s="54">
        <f t="shared" si="26"/>
        <v>43006.742769999997</v>
      </c>
      <c r="D898" s="54">
        <f t="shared" si="27"/>
        <v>43006.784436666669</v>
      </c>
      <c r="E898" s="63">
        <v>43006</v>
      </c>
      <c r="F898" s="61">
        <v>0.74277000000000004</v>
      </c>
      <c r="G898" s="63">
        <v>43006</v>
      </c>
      <c r="H898" s="61">
        <v>0.78443666666666667</v>
      </c>
      <c r="I898" s="55">
        <v>30</v>
      </c>
      <c r="J898" s="56" t="s">
        <v>232</v>
      </c>
      <c r="K898" s="75" t="s">
        <v>231</v>
      </c>
      <c r="L898" s="70">
        <v>0</v>
      </c>
    </row>
    <row r="899" spans="1:12" ht="15" customHeight="1">
      <c r="A899" s="53" t="s">
        <v>218</v>
      </c>
      <c r="B899" s="53" t="s">
        <v>110</v>
      </c>
      <c r="C899" s="54">
        <f t="shared" ref="C899:C962" si="28">E899+F899</f>
        <v>43002.507299999997</v>
      </c>
      <c r="D899" s="54">
        <f t="shared" ref="D899:D962" si="29">G899+H899</f>
        <v>43002.548966666669</v>
      </c>
      <c r="E899" s="63">
        <v>43002</v>
      </c>
      <c r="F899" s="61">
        <v>0.50729999999999997</v>
      </c>
      <c r="G899" s="63">
        <v>43002</v>
      </c>
      <c r="H899" s="61">
        <v>0.5489666666666666</v>
      </c>
      <c r="I899" s="55">
        <v>30</v>
      </c>
      <c r="J899" s="56" t="s">
        <v>232</v>
      </c>
      <c r="K899" s="75" t="s">
        <v>231</v>
      </c>
      <c r="L899" s="70">
        <v>0</v>
      </c>
    </row>
    <row r="900" spans="1:12" ht="15" customHeight="1">
      <c r="A900" s="53" t="s">
        <v>218</v>
      </c>
      <c r="B900" s="53" t="s">
        <v>111</v>
      </c>
      <c r="C900" s="54">
        <f t="shared" si="28"/>
        <v>42944.350299999998</v>
      </c>
      <c r="D900" s="54">
        <f t="shared" si="29"/>
        <v>42944.39196666667</v>
      </c>
      <c r="E900" s="63">
        <v>42944</v>
      </c>
      <c r="F900" s="61">
        <v>0.3503</v>
      </c>
      <c r="G900" s="63">
        <v>42944</v>
      </c>
      <c r="H900" s="61">
        <v>0.39196666666666669</v>
      </c>
      <c r="I900" s="55">
        <v>30</v>
      </c>
      <c r="J900" s="56" t="s">
        <v>227</v>
      </c>
      <c r="K900" s="75" t="s">
        <v>230</v>
      </c>
      <c r="L900" s="70">
        <v>0</v>
      </c>
    </row>
    <row r="901" spans="1:12" ht="15" customHeight="1">
      <c r="A901" s="53" t="s">
        <v>219</v>
      </c>
      <c r="B901" s="53" t="s">
        <v>112</v>
      </c>
      <c r="C901" s="54">
        <f t="shared" si="28"/>
        <v>42866.721019999997</v>
      </c>
      <c r="D901" s="54">
        <f t="shared" si="29"/>
        <v>42866.762686666669</v>
      </c>
      <c r="E901" s="63">
        <v>42866</v>
      </c>
      <c r="F901" s="61">
        <v>0.72101999999999999</v>
      </c>
      <c r="G901" s="63">
        <v>42866</v>
      </c>
      <c r="H901" s="61">
        <v>0.76268666666666662</v>
      </c>
      <c r="I901" s="55">
        <v>30</v>
      </c>
      <c r="J901" s="56" t="s">
        <v>232</v>
      </c>
      <c r="K901" s="75" t="s">
        <v>230</v>
      </c>
      <c r="L901" s="70">
        <v>0</v>
      </c>
    </row>
    <row r="902" spans="1:12" ht="15" customHeight="1">
      <c r="A902" s="53" t="s">
        <v>216</v>
      </c>
      <c r="B902" s="53" t="s">
        <v>113</v>
      </c>
      <c r="C902" s="54">
        <f t="shared" si="28"/>
        <v>42998.317840000003</v>
      </c>
      <c r="D902" s="54">
        <f t="shared" si="29"/>
        <v>42998.359506666668</v>
      </c>
      <c r="E902" s="63">
        <v>42998</v>
      </c>
      <c r="F902" s="61">
        <v>0.31784000000000001</v>
      </c>
      <c r="G902" s="63">
        <v>42998</v>
      </c>
      <c r="H902" s="61">
        <v>0.3595066666666667</v>
      </c>
      <c r="I902" s="55">
        <v>30</v>
      </c>
      <c r="J902" s="56" t="s">
        <v>229</v>
      </c>
      <c r="K902" s="75" t="s">
        <v>230</v>
      </c>
      <c r="L902" s="70">
        <v>0</v>
      </c>
    </row>
    <row r="903" spans="1:12" ht="15" customHeight="1">
      <c r="A903" s="53" t="s">
        <v>220</v>
      </c>
      <c r="B903" s="53" t="s">
        <v>114</v>
      </c>
      <c r="C903" s="54">
        <f t="shared" si="28"/>
        <v>43069.475610000001</v>
      </c>
      <c r="D903" s="54">
        <f t="shared" si="29"/>
        <v>43069.517276666666</v>
      </c>
      <c r="E903" s="63">
        <v>43069</v>
      </c>
      <c r="F903" s="61">
        <v>0.47560999999999998</v>
      </c>
      <c r="G903" s="63">
        <v>43069</v>
      </c>
      <c r="H903" s="61">
        <v>0.51727666666666661</v>
      </c>
      <c r="I903" s="55">
        <v>30</v>
      </c>
      <c r="J903" s="56" t="s">
        <v>232</v>
      </c>
      <c r="K903" s="75" t="s">
        <v>231</v>
      </c>
      <c r="L903" s="70">
        <v>0</v>
      </c>
    </row>
    <row r="904" spans="1:12" ht="15" customHeight="1">
      <c r="A904" s="53" t="s">
        <v>220</v>
      </c>
      <c r="B904" s="53" t="s">
        <v>115</v>
      </c>
      <c r="C904" s="54">
        <f t="shared" si="28"/>
        <v>42778.546289999998</v>
      </c>
      <c r="D904" s="54">
        <f t="shared" si="29"/>
        <v>42778.58795666667</v>
      </c>
      <c r="E904" s="63">
        <v>42778</v>
      </c>
      <c r="F904" s="61">
        <v>0.54629000000000005</v>
      </c>
      <c r="G904" s="63">
        <v>42778</v>
      </c>
      <c r="H904" s="61">
        <v>0.58795666666666668</v>
      </c>
      <c r="I904" s="55">
        <v>30</v>
      </c>
      <c r="J904" s="56" t="s">
        <v>232</v>
      </c>
      <c r="K904" s="75" t="s">
        <v>230</v>
      </c>
      <c r="L904" s="70">
        <v>0</v>
      </c>
    </row>
    <row r="905" spans="1:12" ht="15" customHeight="1">
      <c r="A905" s="53" t="s">
        <v>217</v>
      </c>
      <c r="B905" s="53" t="s">
        <v>116</v>
      </c>
      <c r="C905" s="54">
        <f t="shared" si="28"/>
        <v>42755.64097</v>
      </c>
      <c r="D905" s="54">
        <f t="shared" si="29"/>
        <v>42755.682636666665</v>
      </c>
      <c r="E905" s="63">
        <v>42755</v>
      </c>
      <c r="F905" s="61">
        <v>0.64097000000000004</v>
      </c>
      <c r="G905" s="63">
        <v>42755</v>
      </c>
      <c r="H905" s="61">
        <v>0.68263666666666667</v>
      </c>
      <c r="I905" s="55">
        <v>30</v>
      </c>
      <c r="J905" s="56" t="s">
        <v>227</v>
      </c>
      <c r="K905" s="75" t="s">
        <v>230</v>
      </c>
      <c r="L905" s="70">
        <v>0</v>
      </c>
    </row>
    <row r="906" spans="1:12" ht="15" customHeight="1">
      <c r="A906" s="53" t="s">
        <v>218</v>
      </c>
      <c r="B906" s="53" t="s">
        <v>117</v>
      </c>
      <c r="C906" s="54">
        <f t="shared" si="28"/>
        <v>42874.579599999997</v>
      </c>
      <c r="D906" s="54">
        <f t="shared" si="29"/>
        <v>42874.621266666669</v>
      </c>
      <c r="E906" s="63">
        <v>42874</v>
      </c>
      <c r="F906" s="61">
        <v>0.5796</v>
      </c>
      <c r="G906" s="63">
        <v>42874</v>
      </c>
      <c r="H906" s="61">
        <v>0.62126666666666663</v>
      </c>
      <c r="I906" s="55">
        <v>30</v>
      </c>
      <c r="J906" s="56" t="s">
        <v>232</v>
      </c>
      <c r="K906" s="75" t="s">
        <v>228</v>
      </c>
      <c r="L906" s="70">
        <v>0</v>
      </c>
    </row>
    <row r="907" spans="1:12" ht="15" customHeight="1">
      <c r="A907" s="53" t="s">
        <v>219</v>
      </c>
      <c r="B907" s="53" t="s">
        <v>118</v>
      </c>
      <c r="C907" s="54">
        <f t="shared" si="28"/>
        <v>43079.633099999999</v>
      </c>
      <c r="D907" s="54">
        <f t="shared" si="29"/>
        <v>43079.674766666663</v>
      </c>
      <c r="E907" s="63">
        <v>43079</v>
      </c>
      <c r="F907" s="61">
        <v>0.6331</v>
      </c>
      <c r="G907" s="63">
        <v>43079</v>
      </c>
      <c r="H907" s="61">
        <v>0.67476666666666663</v>
      </c>
      <c r="I907" s="55">
        <v>30</v>
      </c>
      <c r="J907" s="56" t="s">
        <v>229</v>
      </c>
      <c r="K907" s="75" t="s">
        <v>228</v>
      </c>
      <c r="L907" s="70">
        <v>0</v>
      </c>
    </row>
    <row r="908" spans="1:12" ht="15" customHeight="1">
      <c r="A908" s="53" t="s">
        <v>216</v>
      </c>
      <c r="B908" s="53" t="s">
        <v>119</v>
      </c>
      <c r="C908" s="54">
        <f t="shared" si="28"/>
        <v>42883.704989999998</v>
      </c>
      <c r="D908" s="54">
        <f t="shared" si="29"/>
        <v>42883.74665666667</v>
      </c>
      <c r="E908" s="63">
        <v>42883</v>
      </c>
      <c r="F908" s="61">
        <v>0.70499000000000001</v>
      </c>
      <c r="G908" s="63">
        <v>42883</v>
      </c>
      <c r="H908" s="61">
        <v>0.74665666666666664</v>
      </c>
      <c r="I908" s="55">
        <v>30</v>
      </c>
      <c r="J908" s="56" t="s">
        <v>227</v>
      </c>
      <c r="K908" s="75" t="s">
        <v>231</v>
      </c>
      <c r="L908" s="70">
        <v>0</v>
      </c>
    </row>
    <row r="909" spans="1:12" ht="15" customHeight="1">
      <c r="A909" s="53" t="s">
        <v>220</v>
      </c>
      <c r="B909" s="53" t="s">
        <v>120</v>
      </c>
      <c r="C909" s="54">
        <f t="shared" si="28"/>
        <v>42950.677089999997</v>
      </c>
      <c r="D909" s="54">
        <f t="shared" si="29"/>
        <v>42950.718756666669</v>
      </c>
      <c r="E909" s="63">
        <v>42950</v>
      </c>
      <c r="F909" s="61">
        <v>0.67708999999999997</v>
      </c>
      <c r="G909" s="63">
        <v>42950</v>
      </c>
      <c r="H909" s="61">
        <v>0.7187566666666666</v>
      </c>
      <c r="I909" s="55">
        <v>30</v>
      </c>
      <c r="J909" s="56" t="s">
        <v>227</v>
      </c>
      <c r="K909" s="75" t="s">
        <v>231</v>
      </c>
      <c r="L909" s="70">
        <v>0</v>
      </c>
    </row>
    <row r="910" spans="1:12" ht="15" customHeight="1">
      <c r="A910" s="53" t="s">
        <v>217</v>
      </c>
      <c r="B910" s="53" t="s">
        <v>121</v>
      </c>
      <c r="C910" s="54">
        <f t="shared" si="28"/>
        <v>43030.367839999999</v>
      </c>
      <c r="D910" s="54">
        <f t="shared" si="29"/>
        <v>43030.409506666663</v>
      </c>
      <c r="E910" s="63">
        <v>43030</v>
      </c>
      <c r="F910" s="61">
        <v>0.36784</v>
      </c>
      <c r="G910" s="63">
        <v>43030</v>
      </c>
      <c r="H910" s="61">
        <v>0.40950666666666669</v>
      </c>
      <c r="I910" s="55">
        <v>30</v>
      </c>
      <c r="J910" s="56" t="s">
        <v>227</v>
      </c>
      <c r="K910" s="75" t="s">
        <v>231</v>
      </c>
      <c r="L910" s="70">
        <v>0</v>
      </c>
    </row>
    <row r="911" spans="1:12" ht="15" customHeight="1">
      <c r="A911" s="53" t="s">
        <v>219</v>
      </c>
      <c r="B911" s="53" t="s">
        <v>122</v>
      </c>
      <c r="C911" s="54">
        <f t="shared" si="28"/>
        <v>42875.58268</v>
      </c>
      <c r="D911" s="54">
        <f t="shared" si="29"/>
        <v>42875.624346666664</v>
      </c>
      <c r="E911" s="63">
        <v>42875</v>
      </c>
      <c r="F911" s="61">
        <v>0.58267999999999998</v>
      </c>
      <c r="G911" s="63">
        <v>42875</v>
      </c>
      <c r="H911" s="61">
        <v>0.62434666666666661</v>
      </c>
      <c r="I911" s="55">
        <v>30</v>
      </c>
      <c r="J911" s="56" t="s">
        <v>227</v>
      </c>
      <c r="K911" s="75" t="s">
        <v>231</v>
      </c>
      <c r="L911" s="70">
        <v>0</v>
      </c>
    </row>
    <row r="912" spans="1:12" ht="15" customHeight="1">
      <c r="A912" s="53" t="s">
        <v>219</v>
      </c>
      <c r="B912" s="53" t="s">
        <v>123</v>
      </c>
      <c r="C912" s="54">
        <f t="shared" si="28"/>
        <v>42955.519809999998</v>
      </c>
      <c r="D912" s="54">
        <f t="shared" si="29"/>
        <v>42955.561476666669</v>
      </c>
      <c r="E912" s="63">
        <v>42955</v>
      </c>
      <c r="F912" s="61">
        <v>0.51980999999999999</v>
      </c>
      <c r="G912" s="63">
        <v>42955</v>
      </c>
      <c r="H912" s="61">
        <v>0.56147666666666662</v>
      </c>
      <c r="I912" s="55">
        <v>30</v>
      </c>
      <c r="J912" s="56" t="s">
        <v>227</v>
      </c>
      <c r="K912" s="75" t="s">
        <v>230</v>
      </c>
      <c r="L912" s="70">
        <v>0</v>
      </c>
    </row>
    <row r="913" spans="1:12" ht="15" customHeight="1">
      <c r="A913" s="53" t="s">
        <v>218</v>
      </c>
      <c r="B913" s="53" t="s">
        <v>124</v>
      </c>
      <c r="C913" s="54">
        <f t="shared" si="28"/>
        <v>43030.471700000002</v>
      </c>
      <c r="D913" s="54">
        <f t="shared" si="29"/>
        <v>43030.513366666666</v>
      </c>
      <c r="E913" s="63">
        <v>43030</v>
      </c>
      <c r="F913" s="61">
        <v>0.47170000000000001</v>
      </c>
      <c r="G913" s="63">
        <v>43030</v>
      </c>
      <c r="H913" s="61">
        <v>0.51336666666666664</v>
      </c>
      <c r="I913" s="55">
        <v>30</v>
      </c>
      <c r="J913" s="56" t="s">
        <v>232</v>
      </c>
      <c r="K913" s="75" t="s">
        <v>231</v>
      </c>
      <c r="L913" s="70">
        <v>0</v>
      </c>
    </row>
    <row r="914" spans="1:12" ht="15" customHeight="1">
      <c r="A914" s="53" t="s">
        <v>216</v>
      </c>
      <c r="B914" s="53" t="s">
        <v>125</v>
      </c>
      <c r="C914" s="54">
        <f t="shared" si="28"/>
        <v>43012.38248</v>
      </c>
      <c r="D914" s="54">
        <f t="shared" si="29"/>
        <v>43012.424146666664</v>
      </c>
      <c r="E914" s="63">
        <v>43012</v>
      </c>
      <c r="F914" s="61">
        <v>0.38247999999999999</v>
      </c>
      <c r="G914" s="63">
        <v>43012</v>
      </c>
      <c r="H914" s="61">
        <v>0.42414666666666667</v>
      </c>
      <c r="I914" s="55">
        <v>30</v>
      </c>
      <c r="J914" s="56" t="s">
        <v>229</v>
      </c>
      <c r="K914" s="75" t="s">
        <v>228</v>
      </c>
      <c r="L914" s="70">
        <v>0</v>
      </c>
    </row>
    <row r="915" spans="1:12" ht="15" customHeight="1">
      <c r="A915" s="53" t="s">
        <v>219</v>
      </c>
      <c r="B915" s="53" t="s">
        <v>126</v>
      </c>
      <c r="C915" s="54">
        <f t="shared" si="28"/>
        <v>42817.639790000001</v>
      </c>
      <c r="D915" s="54">
        <f t="shared" si="29"/>
        <v>42817.681456666665</v>
      </c>
      <c r="E915" s="63">
        <v>42817</v>
      </c>
      <c r="F915" s="61">
        <v>0.63978999999999997</v>
      </c>
      <c r="G915" s="63">
        <v>42817</v>
      </c>
      <c r="H915" s="61">
        <v>0.6814566666666666</v>
      </c>
      <c r="I915" s="55">
        <v>30</v>
      </c>
      <c r="J915" s="56" t="s">
        <v>229</v>
      </c>
      <c r="K915" s="75" t="s">
        <v>231</v>
      </c>
      <c r="L915" s="70">
        <v>0</v>
      </c>
    </row>
    <row r="916" spans="1:12" ht="15" customHeight="1">
      <c r="A916" s="53" t="s">
        <v>220</v>
      </c>
      <c r="B916" s="53" t="s">
        <v>127</v>
      </c>
      <c r="C916" s="54">
        <f t="shared" si="28"/>
        <v>43032.743629999997</v>
      </c>
      <c r="D916" s="54">
        <f t="shared" si="29"/>
        <v>43032.785296666669</v>
      </c>
      <c r="E916" s="63">
        <v>43032</v>
      </c>
      <c r="F916" s="61">
        <v>0.74363000000000001</v>
      </c>
      <c r="G916" s="63">
        <v>43032</v>
      </c>
      <c r="H916" s="61">
        <v>0.78529666666666664</v>
      </c>
      <c r="I916" s="55">
        <v>30</v>
      </c>
      <c r="J916" s="56" t="s">
        <v>227</v>
      </c>
      <c r="K916" s="75" t="s">
        <v>230</v>
      </c>
      <c r="L916" s="70">
        <v>0</v>
      </c>
    </row>
    <row r="917" spans="1:12" ht="15" customHeight="1">
      <c r="A917" s="53" t="s">
        <v>219</v>
      </c>
      <c r="B917" s="53" t="s">
        <v>128</v>
      </c>
      <c r="C917" s="54">
        <f t="shared" si="28"/>
        <v>43073.53097</v>
      </c>
      <c r="D917" s="54">
        <f t="shared" si="29"/>
        <v>43073.572636666664</v>
      </c>
      <c r="E917" s="63">
        <v>43073</v>
      </c>
      <c r="F917" s="61">
        <v>0.53097000000000005</v>
      </c>
      <c r="G917" s="63">
        <v>43073</v>
      </c>
      <c r="H917" s="61">
        <v>0.57263666666666668</v>
      </c>
      <c r="I917" s="55">
        <v>30</v>
      </c>
      <c r="J917" s="56" t="s">
        <v>229</v>
      </c>
      <c r="K917" s="75" t="s">
        <v>230</v>
      </c>
      <c r="L917" s="70">
        <v>0</v>
      </c>
    </row>
    <row r="918" spans="1:12" ht="15" customHeight="1">
      <c r="A918" s="53" t="s">
        <v>220</v>
      </c>
      <c r="B918" s="57" t="s">
        <v>129</v>
      </c>
      <c r="C918" s="54">
        <f t="shared" si="28"/>
        <v>43080.429730000003</v>
      </c>
      <c r="D918" s="54">
        <f t="shared" si="29"/>
        <v>43080.471396666668</v>
      </c>
      <c r="E918" s="63">
        <v>43080</v>
      </c>
      <c r="F918" s="61">
        <v>0.42973</v>
      </c>
      <c r="G918" s="63">
        <v>43080</v>
      </c>
      <c r="H918" s="61">
        <v>0.47139666666666669</v>
      </c>
      <c r="I918" s="55">
        <v>30</v>
      </c>
      <c r="J918" s="56" t="s">
        <v>232</v>
      </c>
      <c r="K918" s="75" t="s">
        <v>228</v>
      </c>
      <c r="L918" s="70">
        <v>0</v>
      </c>
    </row>
    <row r="919" spans="1:12" ht="15" customHeight="1">
      <c r="A919" s="53" t="s">
        <v>216</v>
      </c>
      <c r="B919" s="53" t="s">
        <v>130</v>
      </c>
      <c r="C919" s="54">
        <f t="shared" si="28"/>
        <v>42868.322480000003</v>
      </c>
      <c r="D919" s="54">
        <f t="shared" si="29"/>
        <v>42868.364146666667</v>
      </c>
      <c r="E919" s="63">
        <v>42868</v>
      </c>
      <c r="F919" s="61">
        <v>0.32247999999999999</v>
      </c>
      <c r="G919" s="63">
        <v>42868</v>
      </c>
      <c r="H919" s="61">
        <v>0.36414666666666667</v>
      </c>
      <c r="I919" s="55">
        <v>30</v>
      </c>
      <c r="J919" s="56" t="s">
        <v>232</v>
      </c>
      <c r="K919" s="75" t="s">
        <v>231</v>
      </c>
      <c r="L919" s="70">
        <v>0</v>
      </c>
    </row>
    <row r="920" spans="1:12" ht="15" customHeight="1">
      <c r="A920" s="53" t="s">
        <v>217</v>
      </c>
      <c r="B920" s="53" t="s">
        <v>131</v>
      </c>
      <c r="C920" s="54">
        <f t="shared" si="28"/>
        <v>43065.485209999999</v>
      </c>
      <c r="D920" s="54">
        <f t="shared" si="29"/>
        <v>43065.526876666663</v>
      </c>
      <c r="E920" s="63">
        <v>43065</v>
      </c>
      <c r="F920" s="61">
        <v>0.48520999999999997</v>
      </c>
      <c r="G920" s="63">
        <v>43065</v>
      </c>
      <c r="H920" s="61">
        <v>0.52687666666666666</v>
      </c>
      <c r="I920" s="55">
        <v>30</v>
      </c>
      <c r="J920" s="56" t="s">
        <v>227</v>
      </c>
      <c r="K920" s="75" t="s">
        <v>228</v>
      </c>
      <c r="L920" s="70">
        <v>0</v>
      </c>
    </row>
    <row r="921" spans="1:12" ht="15" customHeight="1">
      <c r="A921" s="53" t="s">
        <v>218</v>
      </c>
      <c r="B921" s="53" t="s">
        <v>132</v>
      </c>
      <c r="C921" s="54">
        <f t="shared" si="28"/>
        <v>42872.459179999998</v>
      </c>
      <c r="D921" s="54">
        <f t="shared" si="29"/>
        <v>42872.50084666667</v>
      </c>
      <c r="E921" s="63">
        <v>42872</v>
      </c>
      <c r="F921" s="61">
        <v>0.45917999999999998</v>
      </c>
      <c r="G921" s="63">
        <v>42872</v>
      </c>
      <c r="H921" s="61">
        <v>0.50084666666666666</v>
      </c>
      <c r="I921" s="55">
        <v>30</v>
      </c>
      <c r="J921" s="56" t="s">
        <v>227</v>
      </c>
      <c r="K921" s="75" t="s">
        <v>228</v>
      </c>
      <c r="L921" s="70">
        <v>0</v>
      </c>
    </row>
    <row r="922" spans="1:12" ht="15" customHeight="1">
      <c r="A922" s="53" t="s">
        <v>216</v>
      </c>
      <c r="B922" s="57" t="s">
        <v>133</v>
      </c>
      <c r="C922" s="54">
        <f t="shared" si="28"/>
        <v>42999.49166</v>
      </c>
      <c r="D922" s="54">
        <f t="shared" si="29"/>
        <v>42999.533326666664</v>
      </c>
      <c r="E922" s="63">
        <v>42999</v>
      </c>
      <c r="F922" s="61">
        <v>0.49165999999999999</v>
      </c>
      <c r="G922" s="63">
        <v>42999</v>
      </c>
      <c r="H922" s="61">
        <v>0.53332666666666662</v>
      </c>
      <c r="I922" s="55">
        <v>30</v>
      </c>
      <c r="J922" s="56" t="s">
        <v>229</v>
      </c>
      <c r="K922" s="75" t="s">
        <v>231</v>
      </c>
      <c r="L922" s="70">
        <v>0</v>
      </c>
    </row>
    <row r="923" spans="1:12" ht="15" customHeight="1">
      <c r="A923" s="53" t="s">
        <v>217</v>
      </c>
      <c r="B923" s="53" t="s">
        <v>134</v>
      </c>
      <c r="C923" s="54">
        <f t="shared" si="28"/>
        <v>42820.397199999999</v>
      </c>
      <c r="D923" s="54">
        <f t="shared" si="29"/>
        <v>42820.438866666664</v>
      </c>
      <c r="E923" s="63">
        <v>42820</v>
      </c>
      <c r="F923" s="61">
        <v>0.3972</v>
      </c>
      <c r="G923" s="63">
        <v>42820</v>
      </c>
      <c r="H923" s="61">
        <v>0.43886666666666668</v>
      </c>
      <c r="I923" s="55">
        <v>30</v>
      </c>
      <c r="J923" s="56" t="s">
        <v>229</v>
      </c>
      <c r="K923" s="75" t="s">
        <v>228</v>
      </c>
      <c r="L923" s="70">
        <v>0</v>
      </c>
    </row>
    <row r="924" spans="1:12" ht="15" customHeight="1">
      <c r="A924" s="53" t="s">
        <v>216</v>
      </c>
      <c r="B924" s="53" t="s">
        <v>135</v>
      </c>
      <c r="C924" s="54">
        <f t="shared" si="28"/>
        <v>42997.581109999999</v>
      </c>
      <c r="D924" s="54">
        <f t="shared" si="29"/>
        <v>42997.622776666663</v>
      </c>
      <c r="E924" s="63">
        <v>42997</v>
      </c>
      <c r="F924" s="61">
        <v>0.58111000000000002</v>
      </c>
      <c r="G924" s="63">
        <v>42997</v>
      </c>
      <c r="H924" s="61">
        <v>0.62277666666666665</v>
      </c>
      <c r="I924" s="55">
        <v>30</v>
      </c>
      <c r="J924" s="56" t="s">
        <v>227</v>
      </c>
      <c r="K924" s="75" t="s">
        <v>230</v>
      </c>
      <c r="L924" s="70">
        <v>0</v>
      </c>
    </row>
    <row r="925" spans="1:12" ht="15" customHeight="1">
      <c r="A925" s="53" t="s">
        <v>219</v>
      </c>
      <c r="B925" s="53" t="s">
        <v>136</v>
      </c>
      <c r="C925" s="54">
        <f t="shared" si="28"/>
        <v>43028.315730000002</v>
      </c>
      <c r="D925" s="54">
        <f t="shared" si="29"/>
        <v>43028.357396666666</v>
      </c>
      <c r="E925" s="63">
        <v>43028</v>
      </c>
      <c r="F925" s="61">
        <v>0.31573000000000001</v>
      </c>
      <c r="G925" s="63">
        <v>43028</v>
      </c>
      <c r="H925" s="61">
        <v>0.3573966666666667</v>
      </c>
      <c r="I925" s="55">
        <v>30</v>
      </c>
      <c r="J925" s="56" t="s">
        <v>229</v>
      </c>
      <c r="K925" s="75" t="s">
        <v>231</v>
      </c>
      <c r="L925" s="70">
        <v>0</v>
      </c>
    </row>
    <row r="926" spans="1:12" ht="15" customHeight="1">
      <c r="A926" s="53" t="s">
        <v>216</v>
      </c>
      <c r="B926" s="53" t="s">
        <v>137</v>
      </c>
      <c r="C926" s="54">
        <f t="shared" si="28"/>
        <v>43091.522109999998</v>
      </c>
      <c r="D926" s="54">
        <f t="shared" si="29"/>
        <v>43091.56377666667</v>
      </c>
      <c r="E926" s="63">
        <v>43091</v>
      </c>
      <c r="F926" s="61">
        <v>0.52210999999999996</v>
      </c>
      <c r="G926" s="63">
        <v>43091</v>
      </c>
      <c r="H926" s="61">
        <v>0.56377666666666659</v>
      </c>
      <c r="I926" s="55">
        <v>30</v>
      </c>
      <c r="J926" s="56" t="s">
        <v>232</v>
      </c>
      <c r="K926" s="75" t="s">
        <v>230</v>
      </c>
      <c r="L926" s="70">
        <v>0</v>
      </c>
    </row>
    <row r="927" spans="1:12" ht="15" customHeight="1">
      <c r="A927" s="53" t="s">
        <v>218</v>
      </c>
      <c r="B927" s="53" t="s">
        <v>138</v>
      </c>
      <c r="C927" s="54">
        <f t="shared" si="28"/>
        <v>42799.420299999998</v>
      </c>
      <c r="D927" s="54">
        <f t="shared" si="29"/>
        <v>42799.461966666669</v>
      </c>
      <c r="E927" s="63">
        <v>42799</v>
      </c>
      <c r="F927" s="61">
        <v>0.42030000000000001</v>
      </c>
      <c r="G927" s="63">
        <v>42799</v>
      </c>
      <c r="H927" s="61">
        <v>0.46196666666666669</v>
      </c>
      <c r="I927" s="55">
        <v>30</v>
      </c>
      <c r="J927" s="56" t="s">
        <v>229</v>
      </c>
      <c r="K927" s="75" t="s">
        <v>230</v>
      </c>
      <c r="L927" s="70">
        <v>0</v>
      </c>
    </row>
    <row r="928" spans="1:12" ht="15" customHeight="1">
      <c r="A928" s="53" t="s">
        <v>219</v>
      </c>
      <c r="B928" s="53" t="s">
        <v>139</v>
      </c>
      <c r="C928" s="54">
        <f t="shared" si="28"/>
        <v>42936.668239999999</v>
      </c>
      <c r="D928" s="54">
        <f t="shared" si="29"/>
        <v>42936.709906666663</v>
      </c>
      <c r="E928" s="63">
        <v>42936</v>
      </c>
      <c r="F928" s="61">
        <v>0.66823999999999995</v>
      </c>
      <c r="G928" s="63">
        <v>42936</v>
      </c>
      <c r="H928" s="61">
        <v>0.70990666666666657</v>
      </c>
      <c r="I928" s="55">
        <v>30</v>
      </c>
      <c r="J928" s="56" t="s">
        <v>229</v>
      </c>
      <c r="K928" s="75" t="s">
        <v>230</v>
      </c>
      <c r="L928" s="70">
        <v>0</v>
      </c>
    </row>
    <row r="929" spans="1:12" ht="15" customHeight="1">
      <c r="A929" s="53" t="s">
        <v>216</v>
      </c>
      <c r="B929" s="53" t="s">
        <v>140</v>
      </c>
      <c r="C929" s="54">
        <f t="shared" si="28"/>
        <v>42853.34143</v>
      </c>
      <c r="D929" s="54">
        <f t="shared" si="29"/>
        <v>42853.383096666665</v>
      </c>
      <c r="E929" s="63">
        <v>42853</v>
      </c>
      <c r="F929" s="61">
        <v>0.34143000000000001</v>
      </c>
      <c r="G929" s="63">
        <v>42853</v>
      </c>
      <c r="H929" s="61">
        <v>0.3830966666666667</v>
      </c>
      <c r="I929" s="55">
        <v>30</v>
      </c>
      <c r="J929" s="56" t="s">
        <v>229</v>
      </c>
      <c r="K929" s="75" t="s">
        <v>231</v>
      </c>
      <c r="L929" s="70">
        <v>0</v>
      </c>
    </row>
    <row r="930" spans="1:12" ht="15" customHeight="1">
      <c r="A930" s="53" t="s">
        <v>217</v>
      </c>
      <c r="B930" s="53" t="s">
        <v>141</v>
      </c>
      <c r="C930" s="54">
        <f t="shared" si="28"/>
        <v>42770.484349999999</v>
      </c>
      <c r="D930" s="54">
        <f t="shared" si="29"/>
        <v>42770.526016666663</v>
      </c>
      <c r="E930" s="63">
        <v>42770</v>
      </c>
      <c r="F930" s="61">
        <v>0.48435</v>
      </c>
      <c r="G930" s="63">
        <v>42770</v>
      </c>
      <c r="H930" s="61">
        <v>0.52601666666666669</v>
      </c>
      <c r="I930" s="55">
        <v>30</v>
      </c>
      <c r="J930" s="56" t="s">
        <v>227</v>
      </c>
      <c r="K930" s="75" t="s">
        <v>231</v>
      </c>
      <c r="L930" s="70">
        <v>0</v>
      </c>
    </row>
    <row r="931" spans="1:12" ht="15" customHeight="1">
      <c r="A931" s="53" t="s">
        <v>218</v>
      </c>
      <c r="B931" s="53" t="s">
        <v>142</v>
      </c>
      <c r="C931" s="54">
        <f t="shared" si="28"/>
        <v>42820.5069</v>
      </c>
      <c r="D931" s="54">
        <f t="shared" si="29"/>
        <v>42820.548566666665</v>
      </c>
      <c r="E931" s="63">
        <v>42820</v>
      </c>
      <c r="F931" s="61">
        <v>0.50690000000000002</v>
      </c>
      <c r="G931" s="63">
        <v>42820</v>
      </c>
      <c r="H931" s="61">
        <v>0.54856666666666665</v>
      </c>
      <c r="I931" s="55">
        <v>30</v>
      </c>
      <c r="J931" s="56" t="s">
        <v>227</v>
      </c>
      <c r="K931" s="75" t="s">
        <v>230</v>
      </c>
      <c r="L931" s="70">
        <v>0</v>
      </c>
    </row>
    <row r="932" spans="1:12" ht="15" customHeight="1">
      <c r="A932" s="53" t="s">
        <v>219</v>
      </c>
      <c r="B932" s="53" t="s">
        <v>143</v>
      </c>
      <c r="C932" s="54">
        <f t="shared" si="28"/>
        <v>42999.56222</v>
      </c>
      <c r="D932" s="54">
        <f t="shared" si="29"/>
        <v>42999.603886666664</v>
      </c>
      <c r="E932" s="63">
        <v>42999</v>
      </c>
      <c r="F932" s="61">
        <v>0.56222000000000005</v>
      </c>
      <c r="G932" s="63">
        <v>42999</v>
      </c>
      <c r="H932" s="61">
        <v>0.60388666666666668</v>
      </c>
      <c r="I932" s="55">
        <v>30</v>
      </c>
      <c r="J932" s="56" t="s">
        <v>227</v>
      </c>
      <c r="K932" s="75" t="s">
        <v>231</v>
      </c>
      <c r="L932" s="70">
        <v>0</v>
      </c>
    </row>
    <row r="933" spans="1:12" ht="15" customHeight="1">
      <c r="A933" s="53" t="s">
        <v>219</v>
      </c>
      <c r="B933" s="53" t="s">
        <v>144</v>
      </c>
      <c r="C933" s="54">
        <f t="shared" si="28"/>
        <v>42821.348729999998</v>
      </c>
      <c r="D933" s="54">
        <f t="shared" si="29"/>
        <v>42821.390396666669</v>
      </c>
      <c r="E933" s="63">
        <v>42821</v>
      </c>
      <c r="F933" s="61">
        <v>0.34872999999999998</v>
      </c>
      <c r="G933" s="63">
        <v>42821</v>
      </c>
      <c r="H933" s="61">
        <v>0.39039666666666667</v>
      </c>
      <c r="I933" s="55">
        <v>30</v>
      </c>
      <c r="J933" s="56" t="s">
        <v>232</v>
      </c>
      <c r="K933" s="75" t="s">
        <v>230</v>
      </c>
      <c r="L933" s="70">
        <v>0</v>
      </c>
    </row>
    <row r="934" spans="1:12" ht="15" customHeight="1">
      <c r="A934" s="53" t="s">
        <v>216</v>
      </c>
      <c r="B934" s="53" t="s">
        <v>145</v>
      </c>
      <c r="C934" s="54">
        <f t="shared" si="28"/>
        <v>42957.551570000003</v>
      </c>
      <c r="D934" s="54">
        <f t="shared" si="29"/>
        <v>42957.593236666668</v>
      </c>
      <c r="E934" s="63">
        <v>42957</v>
      </c>
      <c r="F934" s="61">
        <v>0.55157</v>
      </c>
      <c r="G934" s="63">
        <v>42957</v>
      </c>
      <c r="H934" s="61">
        <v>0.59323666666666663</v>
      </c>
      <c r="I934" s="55">
        <v>30</v>
      </c>
      <c r="J934" s="56" t="s">
        <v>232</v>
      </c>
      <c r="K934" s="75" t="s">
        <v>230</v>
      </c>
      <c r="L934" s="70">
        <v>0</v>
      </c>
    </row>
    <row r="935" spans="1:12" ht="15" customHeight="1">
      <c r="A935" s="53" t="s">
        <v>220</v>
      </c>
      <c r="B935" s="53" t="s">
        <v>146</v>
      </c>
      <c r="C935" s="54">
        <f t="shared" si="28"/>
        <v>42865.358440000004</v>
      </c>
      <c r="D935" s="54">
        <f t="shared" si="29"/>
        <v>42865.400106666668</v>
      </c>
      <c r="E935" s="63">
        <v>42865</v>
      </c>
      <c r="F935" s="61">
        <v>0.35843999999999998</v>
      </c>
      <c r="G935" s="63">
        <v>42865</v>
      </c>
      <c r="H935" s="61">
        <v>0.40010666666666667</v>
      </c>
      <c r="I935" s="55">
        <v>30</v>
      </c>
      <c r="J935" s="56" t="s">
        <v>229</v>
      </c>
      <c r="K935" s="75" t="s">
        <v>231</v>
      </c>
      <c r="L935" s="70">
        <v>0</v>
      </c>
    </row>
    <row r="936" spans="1:12" ht="15" customHeight="1">
      <c r="A936" s="53" t="s">
        <v>216</v>
      </c>
      <c r="B936" s="57" t="s">
        <v>147</v>
      </c>
      <c r="C936" s="54">
        <f t="shared" si="28"/>
        <v>42989.451930000003</v>
      </c>
      <c r="D936" s="54">
        <f t="shared" si="29"/>
        <v>42989.493596666667</v>
      </c>
      <c r="E936" s="63">
        <v>42989</v>
      </c>
      <c r="F936" s="61">
        <v>0.45193</v>
      </c>
      <c r="G936" s="63">
        <v>42989</v>
      </c>
      <c r="H936" s="61">
        <v>0.49359666666666668</v>
      </c>
      <c r="I936" s="55">
        <v>30</v>
      </c>
      <c r="J936" s="56" t="s">
        <v>229</v>
      </c>
      <c r="K936" s="75" t="s">
        <v>228</v>
      </c>
      <c r="L936" s="70">
        <v>0</v>
      </c>
    </row>
    <row r="937" spans="1:12" ht="15" customHeight="1">
      <c r="A937" s="53" t="s">
        <v>220</v>
      </c>
      <c r="B937" s="53" t="s">
        <v>148</v>
      </c>
      <c r="C937" s="54">
        <f t="shared" si="28"/>
        <v>43005.561300000001</v>
      </c>
      <c r="D937" s="54">
        <f t="shared" si="29"/>
        <v>43005.602966666665</v>
      </c>
      <c r="E937" s="63">
        <v>43005</v>
      </c>
      <c r="F937" s="61">
        <v>0.56130000000000002</v>
      </c>
      <c r="G937" s="63">
        <v>43005</v>
      </c>
      <c r="H937" s="61">
        <v>0.60296666666666665</v>
      </c>
      <c r="I937" s="55">
        <v>30</v>
      </c>
      <c r="J937" s="56" t="s">
        <v>232</v>
      </c>
      <c r="K937" s="75" t="s">
        <v>230</v>
      </c>
      <c r="L937" s="70">
        <v>0</v>
      </c>
    </row>
    <row r="938" spans="1:12" ht="15" customHeight="1">
      <c r="A938" s="53" t="s">
        <v>216</v>
      </c>
      <c r="B938" s="53" t="s">
        <v>149</v>
      </c>
      <c r="C938" s="54">
        <f t="shared" si="28"/>
        <v>42788.653539999999</v>
      </c>
      <c r="D938" s="54">
        <f t="shared" si="29"/>
        <v>42788.695206666664</v>
      </c>
      <c r="E938" s="63">
        <v>42788</v>
      </c>
      <c r="F938" s="61">
        <v>0.65354000000000001</v>
      </c>
      <c r="G938" s="63">
        <v>42788</v>
      </c>
      <c r="H938" s="61">
        <v>0.69520666666666664</v>
      </c>
      <c r="I938" s="55">
        <v>30</v>
      </c>
      <c r="J938" s="56" t="s">
        <v>227</v>
      </c>
      <c r="K938" s="75" t="s">
        <v>231</v>
      </c>
      <c r="L938" s="70">
        <v>0</v>
      </c>
    </row>
    <row r="939" spans="1:12" ht="15" customHeight="1">
      <c r="A939" s="53" t="s">
        <v>218</v>
      </c>
      <c r="B939" s="53" t="s">
        <v>150</v>
      </c>
      <c r="C939" s="54">
        <f t="shared" si="28"/>
        <v>42780.740989999998</v>
      </c>
      <c r="D939" s="54">
        <f t="shared" si="29"/>
        <v>42780.78265666667</v>
      </c>
      <c r="E939" s="63">
        <v>42780</v>
      </c>
      <c r="F939" s="61">
        <v>0.74099000000000004</v>
      </c>
      <c r="G939" s="63">
        <v>42780</v>
      </c>
      <c r="H939" s="61">
        <v>0.78265666666666667</v>
      </c>
      <c r="I939" s="55">
        <v>30</v>
      </c>
      <c r="J939" s="56" t="s">
        <v>227</v>
      </c>
      <c r="K939" s="75" t="s">
        <v>231</v>
      </c>
      <c r="L939" s="70">
        <v>0</v>
      </c>
    </row>
    <row r="940" spans="1:12" ht="15" customHeight="1">
      <c r="A940" s="53" t="s">
        <v>217</v>
      </c>
      <c r="B940" s="53" t="s">
        <v>151</v>
      </c>
      <c r="C940" s="54">
        <f t="shared" si="28"/>
        <v>42746.542889999997</v>
      </c>
      <c r="D940" s="54">
        <f t="shared" si="29"/>
        <v>42746.584556666669</v>
      </c>
      <c r="E940" s="63">
        <v>42746</v>
      </c>
      <c r="F940" s="61">
        <v>0.54288999999999998</v>
      </c>
      <c r="G940" s="63">
        <v>42746</v>
      </c>
      <c r="H940" s="61">
        <v>0.58455666666666661</v>
      </c>
      <c r="I940" s="55">
        <v>30</v>
      </c>
      <c r="J940" s="56" t="s">
        <v>232</v>
      </c>
      <c r="K940" s="75" t="s">
        <v>231</v>
      </c>
      <c r="L940" s="70">
        <v>0</v>
      </c>
    </row>
    <row r="941" spans="1:12" ht="15" customHeight="1">
      <c r="A941" s="53" t="s">
        <v>216</v>
      </c>
      <c r="B941" s="53" t="s">
        <v>152</v>
      </c>
      <c r="C941" s="54">
        <f t="shared" si="28"/>
        <v>42921.424659999997</v>
      </c>
      <c r="D941" s="54">
        <f t="shared" si="29"/>
        <v>42921.466326666668</v>
      </c>
      <c r="E941" s="63">
        <v>42921</v>
      </c>
      <c r="F941" s="61">
        <v>0.42465999999999998</v>
      </c>
      <c r="G941" s="63">
        <v>42921</v>
      </c>
      <c r="H941" s="61">
        <v>0.46632666666666667</v>
      </c>
      <c r="I941" s="55">
        <v>30</v>
      </c>
      <c r="J941" s="56" t="s">
        <v>232</v>
      </c>
      <c r="K941" s="75" t="s">
        <v>230</v>
      </c>
      <c r="L941" s="70">
        <v>0</v>
      </c>
    </row>
    <row r="942" spans="1:12" ht="15" customHeight="1">
      <c r="A942" s="53" t="s">
        <v>217</v>
      </c>
      <c r="B942" s="53" t="s">
        <v>153</v>
      </c>
      <c r="C942" s="54">
        <f t="shared" si="28"/>
        <v>42898.359329999999</v>
      </c>
      <c r="D942" s="54">
        <f t="shared" si="29"/>
        <v>42898.400996666664</v>
      </c>
      <c r="E942" s="63">
        <v>42898</v>
      </c>
      <c r="F942" s="61">
        <v>0.35932999999999998</v>
      </c>
      <c r="G942" s="63">
        <v>42898</v>
      </c>
      <c r="H942" s="61">
        <v>0.40099666666666667</v>
      </c>
      <c r="I942" s="55">
        <v>30</v>
      </c>
      <c r="J942" s="56" t="s">
        <v>229</v>
      </c>
      <c r="K942" s="75" t="s">
        <v>231</v>
      </c>
      <c r="L942" s="70">
        <v>0</v>
      </c>
    </row>
    <row r="943" spans="1:12" ht="15" customHeight="1">
      <c r="A943" s="53" t="s">
        <v>216</v>
      </c>
      <c r="B943" s="57" t="s">
        <v>154</v>
      </c>
      <c r="C943" s="54">
        <f t="shared" si="28"/>
        <v>42751.640310000003</v>
      </c>
      <c r="D943" s="54">
        <f t="shared" si="29"/>
        <v>42751.681976666667</v>
      </c>
      <c r="E943" s="63">
        <v>42751</v>
      </c>
      <c r="F943" s="61">
        <v>0.64031000000000005</v>
      </c>
      <c r="G943" s="63">
        <v>42751</v>
      </c>
      <c r="H943" s="61">
        <v>0.68197666666666668</v>
      </c>
      <c r="I943" s="55">
        <v>30</v>
      </c>
      <c r="J943" s="56" t="s">
        <v>232</v>
      </c>
      <c r="K943" s="75" t="s">
        <v>230</v>
      </c>
      <c r="L943" s="70">
        <v>0</v>
      </c>
    </row>
    <row r="944" spans="1:12" ht="15" customHeight="1">
      <c r="A944" s="53" t="s">
        <v>219</v>
      </c>
      <c r="B944" s="53" t="s">
        <v>155</v>
      </c>
      <c r="C944" s="54">
        <f t="shared" si="28"/>
        <v>43063.674529999997</v>
      </c>
      <c r="D944" s="54">
        <f t="shared" si="29"/>
        <v>43063.716196666668</v>
      </c>
      <c r="E944" s="63">
        <v>43063</v>
      </c>
      <c r="F944" s="61">
        <v>0.67452999999999996</v>
      </c>
      <c r="G944" s="63">
        <v>43063</v>
      </c>
      <c r="H944" s="61">
        <v>0.71619666666666659</v>
      </c>
      <c r="I944" s="55">
        <v>30</v>
      </c>
      <c r="J944" s="56" t="s">
        <v>229</v>
      </c>
      <c r="K944" s="75" t="s">
        <v>231</v>
      </c>
      <c r="L944" s="70">
        <v>0</v>
      </c>
    </row>
    <row r="945" spans="1:12" ht="15" customHeight="1">
      <c r="A945" s="53" t="s">
        <v>217</v>
      </c>
      <c r="B945" s="53" t="s">
        <v>156</v>
      </c>
      <c r="C945" s="54">
        <f t="shared" si="28"/>
        <v>42770.7641</v>
      </c>
      <c r="D945" s="54">
        <f t="shared" si="29"/>
        <v>42770.805766666665</v>
      </c>
      <c r="E945" s="63">
        <v>42770</v>
      </c>
      <c r="F945" s="61">
        <v>0.7641</v>
      </c>
      <c r="G945" s="63">
        <v>42770</v>
      </c>
      <c r="H945" s="61">
        <v>0.80576666666666663</v>
      </c>
      <c r="I945" s="55">
        <v>30</v>
      </c>
      <c r="J945" s="56" t="s">
        <v>227</v>
      </c>
      <c r="K945" s="75" t="s">
        <v>231</v>
      </c>
      <c r="L945" s="70">
        <v>0</v>
      </c>
    </row>
    <row r="946" spans="1:12" ht="15" customHeight="1">
      <c r="A946" s="53" t="s">
        <v>220</v>
      </c>
      <c r="B946" s="53" t="s">
        <v>157</v>
      </c>
      <c r="C946" s="54">
        <f t="shared" si="28"/>
        <v>42788.398710000001</v>
      </c>
      <c r="D946" s="54">
        <f t="shared" si="29"/>
        <v>42788.440376666666</v>
      </c>
      <c r="E946" s="63">
        <v>42788</v>
      </c>
      <c r="F946" s="61">
        <v>0.39871000000000001</v>
      </c>
      <c r="G946" s="63">
        <v>42788</v>
      </c>
      <c r="H946" s="61">
        <v>0.44037666666666669</v>
      </c>
      <c r="I946" s="55">
        <v>30</v>
      </c>
      <c r="J946" s="56" t="s">
        <v>232</v>
      </c>
      <c r="K946" s="75" t="s">
        <v>231</v>
      </c>
      <c r="L946" s="70">
        <v>0</v>
      </c>
    </row>
    <row r="947" spans="1:12" ht="15" customHeight="1">
      <c r="A947" s="53" t="s">
        <v>217</v>
      </c>
      <c r="B947" s="53" t="s">
        <v>158</v>
      </c>
      <c r="C947" s="54">
        <f t="shared" si="28"/>
        <v>43039.550020000002</v>
      </c>
      <c r="D947" s="54">
        <f t="shared" si="29"/>
        <v>43039.591686666667</v>
      </c>
      <c r="E947" s="63">
        <v>43039</v>
      </c>
      <c r="F947" s="61">
        <v>0.55001999999999995</v>
      </c>
      <c r="G947" s="63">
        <v>43039</v>
      </c>
      <c r="H947" s="61">
        <v>0.59168666666666658</v>
      </c>
      <c r="I947" s="55">
        <v>30</v>
      </c>
      <c r="J947" s="56" t="s">
        <v>229</v>
      </c>
      <c r="K947" s="75" t="s">
        <v>228</v>
      </c>
      <c r="L947" s="70">
        <v>0</v>
      </c>
    </row>
    <row r="948" spans="1:12" ht="15" customHeight="1">
      <c r="A948" s="53" t="s">
        <v>218</v>
      </c>
      <c r="B948" s="53" t="s">
        <v>159</v>
      </c>
      <c r="C948" s="54">
        <f t="shared" si="28"/>
        <v>43090.57503</v>
      </c>
      <c r="D948" s="54">
        <f t="shared" si="29"/>
        <v>43090.616696666664</v>
      </c>
      <c r="E948" s="63">
        <v>43090</v>
      </c>
      <c r="F948" s="61">
        <v>0.57503000000000004</v>
      </c>
      <c r="G948" s="63">
        <v>43090</v>
      </c>
      <c r="H948" s="61">
        <v>0.61669666666666667</v>
      </c>
      <c r="I948" s="55">
        <v>30</v>
      </c>
      <c r="J948" s="56" t="s">
        <v>229</v>
      </c>
      <c r="K948" s="75" t="s">
        <v>231</v>
      </c>
      <c r="L948" s="70">
        <v>0</v>
      </c>
    </row>
    <row r="949" spans="1:12" ht="15" customHeight="1">
      <c r="A949" s="53" t="s">
        <v>217</v>
      </c>
      <c r="B949" s="53" t="s">
        <v>160</v>
      </c>
      <c r="C949" s="54">
        <f t="shared" si="28"/>
        <v>42992.380360000003</v>
      </c>
      <c r="D949" s="54">
        <f t="shared" si="29"/>
        <v>42992.422026666667</v>
      </c>
      <c r="E949" s="63">
        <v>42992</v>
      </c>
      <c r="F949" s="61">
        <v>0.38035999999999998</v>
      </c>
      <c r="G949" s="63">
        <v>42992</v>
      </c>
      <c r="H949" s="61">
        <v>0.42202666666666666</v>
      </c>
      <c r="I949" s="55">
        <v>30</v>
      </c>
      <c r="J949" s="56" t="s">
        <v>232</v>
      </c>
      <c r="K949" s="75" t="s">
        <v>228</v>
      </c>
      <c r="L949" s="70">
        <v>0</v>
      </c>
    </row>
    <row r="950" spans="1:12" ht="15" customHeight="1">
      <c r="A950" s="53" t="s">
        <v>216</v>
      </c>
      <c r="B950" s="53" t="s">
        <v>161</v>
      </c>
      <c r="C950" s="54">
        <f t="shared" si="28"/>
        <v>42845.638449999999</v>
      </c>
      <c r="D950" s="54">
        <f t="shared" si="29"/>
        <v>42845.68011666667</v>
      </c>
      <c r="E950" s="63">
        <v>42845</v>
      </c>
      <c r="F950" s="61">
        <v>0.63844999999999996</v>
      </c>
      <c r="G950" s="63">
        <v>42845</v>
      </c>
      <c r="H950" s="61">
        <v>0.68011666666666659</v>
      </c>
      <c r="I950" s="55">
        <v>30</v>
      </c>
      <c r="J950" s="56" t="s">
        <v>232</v>
      </c>
      <c r="K950" s="75" t="s">
        <v>230</v>
      </c>
      <c r="L950" s="70">
        <v>0</v>
      </c>
    </row>
    <row r="951" spans="1:12" ht="15" customHeight="1">
      <c r="A951" s="53" t="s">
        <v>217</v>
      </c>
      <c r="B951" s="53" t="s">
        <v>162</v>
      </c>
      <c r="C951" s="54">
        <f t="shared" si="28"/>
        <v>42760.373169999999</v>
      </c>
      <c r="D951" s="54">
        <f t="shared" si="29"/>
        <v>42760.414836666663</v>
      </c>
      <c r="E951" s="63">
        <v>42760</v>
      </c>
      <c r="F951" s="61">
        <v>0.37317</v>
      </c>
      <c r="G951" s="63">
        <v>42760</v>
      </c>
      <c r="H951" s="61">
        <v>0.41483666666666669</v>
      </c>
      <c r="I951" s="55">
        <v>30</v>
      </c>
      <c r="J951" s="56" t="s">
        <v>229</v>
      </c>
      <c r="K951" s="75" t="s">
        <v>230</v>
      </c>
      <c r="L951" s="70">
        <v>0</v>
      </c>
    </row>
    <row r="952" spans="1:12" ht="15" customHeight="1">
      <c r="A952" s="53" t="s">
        <v>219</v>
      </c>
      <c r="B952" s="53" t="s">
        <v>163</v>
      </c>
      <c r="C952" s="54">
        <f t="shared" si="28"/>
        <v>43009.461049999998</v>
      </c>
      <c r="D952" s="54">
        <f t="shared" si="29"/>
        <v>43009.50271666667</v>
      </c>
      <c r="E952" s="63">
        <v>43009</v>
      </c>
      <c r="F952" s="61">
        <v>0.46105000000000002</v>
      </c>
      <c r="G952" s="63">
        <v>43009</v>
      </c>
      <c r="H952" s="61">
        <v>0.5027166666666667</v>
      </c>
      <c r="I952" s="55">
        <v>30</v>
      </c>
      <c r="J952" s="56" t="s">
        <v>227</v>
      </c>
      <c r="K952" s="75" t="s">
        <v>231</v>
      </c>
      <c r="L952" s="70">
        <v>0</v>
      </c>
    </row>
    <row r="953" spans="1:12" ht="15" customHeight="1">
      <c r="A953" s="53" t="s">
        <v>218</v>
      </c>
      <c r="B953" s="53" t="s">
        <v>164</v>
      </c>
      <c r="C953" s="54">
        <f t="shared" si="28"/>
        <v>42776.468889999996</v>
      </c>
      <c r="D953" s="54">
        <f t="shared" si="29"/>
        <v>42776.510556666668</v>
      </c>
      <c r="E953" s="63">
        <v>42776</v>
      </c>
      <c r="F953" s="61">
        <v>0.46888999999999997</v>
      </c>
      <c r="G953" s="63">
        <v>42776</v>
      </c>
      <c r="H953" s="61">
        <v>0.51055666666666666</v>
      </c>
      <c r="I953" s="55">
        <v>30</v>
      </c>
      <c r="J953" s="56" t="s">
        <v>229</v>
      </c>
      <c r="K953" s="75" t="s">
        <v>230</v>
      </c>
      <c r="L953" s="70">
        <v>0</v>
      </c>
    </row>
    <row r="954" spans="1:12" ht="15" customHeight="1">
      <c r="A954" s="53" t="s">
        <v>218</v>
      </c>
      <c r="B954" s="53" t="s">
        <v>165</v>
      </c>
      <c r="C954" s="54">
        <f t="shared" si="28"/>
        <v>42778.330909999997</v>
      </c>
      <c r="D954" s="54">
        <f t="shared" si="29"/>
        <v>42778.372576666668</v>
      </c>
      <c r="E954" s="63">
        <v>42778</v>
      </c>
      <c r="F954" s="61">
        <v>0.33090999999999998</v>
      </c>
      <c r="G954" s="63">
        <v>42778</v>
      </c>
      <c r="H954" s="61">
        <v>0.37257666666666667</v>
      </c>
      <c r="I954" s="55">
        <v>30</v>
      </c>
      <c r="J954" s="56" t="s">
        <v>227</v>
      </c>
      <c r="K954" s="75" t="s">
        <v>230</v>
      </c>
      <c r="L954" s="70">
        <v>0</v>
      </c>
    </row>
    <row r="955" spans="1:12" ht="15" customHeight="1">
      <c r="A955" s="53" t="s">
        <v>217</v>
      </c>
      <c r="B955" s="53" t="s">
        <v>166</v>
      </c>
      <c r="C955" s="54">
        <f t="shared" si="28"/>
        <v>42965.47812</v>
      </c>
      <c r="D955" s="54">
        <f t="shared" si="29"/>
        <v>42965.519786666664</v>
      </c>
      <c r="E955" s="63">
        <v>42965</v>
      </c>
      <c r="F955" s="61">
        <v>0.47811999999999999</v>
      </c>
      <c r="G955" s="63">
        <v>42965</v>
      </c>
      <c r="H955" s="61">
        <v>0.51978666666666662</v>
      </c>
      <c r="I955" s="55">
        <v>30</v>
      </c>
      <c r="J955" s="56" t="s">
        <v>227</v>
      </c>
      <c r="K955" s="75" t="s">
        <v>231</v>
      </c>
      <c r="L955" s="70">
        <v>0</v>
      </c>
    </row>
    <row r="956" spans="1:12" ht="15" customHeight="1">
      <c r="A956" s="53" t="s">
        <v>220</v>
      </c>
      <c r="B956" s="53" t="s">
        <v>167</v>
      </c>
      <c r="C956" s="54">
        <f t="shared" si="28"/>
        <v>42742.332110000003</v>
      </c>
      <c r="D956" s="54">
        <f t="shared" si="29"/>
        <v>42742.373776666667</v>
      </c>
      <c r="E956" s="63">
        <v>42742</v>
      </c>
      <c r="F956" s="61">
        <v>0.33211000000000002</v>
      </c>
      <c r="G956" s="63">
        <v>42742</v>
      </c>
      <c r="H956" s="61">
        <v>0.3737766666666667</v>
      </c>
      <c r="I956" s="55">
        <v>30</v>
      </c>
      <c r="J956" s="56" t="s">
        <v>229</v>
      </c>
      <c r="K956" s="75" t="s">
        <v>230</v>
      </c>
      <c r="L956" s="70">
        <v>0</v>
      </c>
    </row>
    <row r="957" spans="1:12" ht="15" customHeight="1">
      <c r="A957" s="53" t="s">
        <v>220</v>
      </c>
      <c r="B957" s="58" t="s">
        <v>168</v>
      </c>
      <c r="C957" s="54">
        <f t="shared" si="28"/>
        <v>42751.373030000002</v>
      </c>
      <c r="D957" s="54">
        <f t="shared" si="29"/>
        <v>42751.414696666667</v>
      </c>
      <c r="E957" s="63">
        <v>42751</v>
      </c>
      <c r="F957" s="61">
        <v>0.37302999999999997</v>
      </c>
      <c r="G957" s="63">
        <v>42751</v>
      </c>
      <c r="H957" s="61">
        <v>0.41469666666666666</v>
      </c>
      <c r="I957" s="55">
        <v>30</v>
      </c>
      <c r="J957" s="56" t="s">
        <v>232</v>
      </c>
      <c r="K957" s="75" t="s">
        <v>230</v>
      </c>
      <c r="L957" s="70">
        <v>0</v>
      </c>
    </row>
    <row r="958" spans="1:12" ht="15" customHeight="1">
      <c r="A958" s="53" t="s">
        <v>216</v>
      </c>
      <c r="B958" s="53" t="s">
        <v>169</v>
      </c>
      <c r="C958" s="54">
        <f t="shared" si="28"/>
        <v>42929.468769999999</v>
      </c>
      <c r="D958" s="54">
        <f t="shared" si="29"/>
        <v>42929.510436666664</v>
      </c>
      <c r="E958" s="63">
        <v>42929</v>
      </c>
      <c r="F958" s="61">
        <v>0.46877000000000002</v>
      </c>
      <c r="G958" s="63">
        <v>42929</v>
      </c>
      <c r="H958" s="61">
        <v>0.51043666666666665</v>
      </c>
      <c r="I958" s="55">
        <v>30</v>
      </c>
      <c r="J958" s="56" t="s">
        <v>232</v>
      </c>
      <c r="K958" s="75" t="s">
        <v>228</v>
      </c>
      <c r="L958" s="70">
        <v>0</v>
      </c>
    </row>
    <row r="959" spans="1:12" ht="15" customHeight="1">
      <c r="A959" s="53" t="s">
        <v>219</v>
      </c>
      <c r="B959" s="53" t="s">
        <v>170</v>
      </c>
      <c r="C959" s="54">
        <f t="shared" si="28"/>
        <v>42737.349670000003</v>
      </c>
      <c r="D959" s="54">
        <f t="shared" si="29"/>
        <v>42737.391336666667</v>
      </c>
      <c r="E959" s="63">
        <v>42737</v>
      </c>
      <c r="F959" s="61">
        <v>0.34966999999999998</v>
      </c>
      <c r="G959" s="63">
        <v>42737</v>
      </c>
      <c r="H959" s="61">
        <v>0.39133666666666667</v>
      </c>
      <c r="I959" s="55">
        <v>30</v>
      </c>
      <c r="J959" s="56" t="s">
        <v>232</v>
      </c>
      <c r="K959" s="75" t="s">
        <v>230</v>
      </c>
      <c r="L959" s="70">
        <v>0</v>
      </c>
    </row>
    <row r="960" spans="1:12" ht="15" customHeight="1">
      <c r="A960" s="53" t="s">
        <v>216</v>
      </c>
      <c r="B960" s="53" t="s">
        <v>171</v>
      </c>
      <c r="C960" s="54">
        <f t="shared" si="28"/>
        <v>43037.467510000002</v>
      </c>
      <c r="D960" s="54">
        <f t="shared" si="29"/>
        <v>43037.509176666666</v>
      </c>
      <c r="E960" s="63">
        <v>43037</v>
      </c>
      <c r="F960" s="61">
        <v>0.46750999999999998</v>
      </c>
      <c r="G960" s="63">
        <v>43037</v>
      </c>
      <c r="H960" s="61">
        <v>0.50917666666666661</v>
      </c>
      <c r="I960" s="55">
        <v>30</v>
      </c>
      <c r="J960" s="56" t="s">
        <v>232</v>
      </c>
      <c r="K960" s="75" t="s">
        <v>230</v>
      </c>
      <c r="L960" s="70">
        <v>0</v>
      </c>
    </row>
    <row r="961" spans="1:12" ht="15" customHeight="1">
      <c r="A961" s="53" t="s">
        <v>216</v>
      </c>
      <c r="B961" s="53" t="s">
        <v>172</v>
      </c>
      <c r="C961" s="54">
        <f t="shared" si="28"/>
        <v>42890.67987</v>
      </c>
      <c r="D961" s="54">
        <f t="shared" si="29"/>
        <v>42890.721536666664</v>
      </c>
      <c r="E961" s="63">
        <v>42890</v>
      </c>
      <c r="F961" s="61">
        <v>0.67986999999999997</v>
      </c>
      <c r="G961" s="63">
        <v>42890</v>
      </c>
      <c r="H961" s="61">
        <v>0.7215366666666666</v>
      </c>
      <c r="I961" s="55">
        <v>30</v>
      </c>
      <c r="J961" s="56" t="s">
        <v>227</v>
      </c>
      <c r="K961" s="75" t="s">
        <v>228</v>
      </c>
      <c r="L961" s="70">
        <v>0</v>
      </c>
    </row>
    <row r="962" spans="1:12" ht="15" customHeight="1">
      <c r="A962" s="53" t="s">
        <v>217</v>
      </c>
      <c r="B962" s="53" t="s">
        <v>173</v>
      </c>
      <c r="C962" s="54">
        <f t="shared" si="28"/>
        <v>42791.577080000003</v>
      </c>
      <c r="D962" s="54">
        <f t="shared" si="29"/>
        <v>42791.618746666667</v>
      </c>
      <c r="E962" s="63">
        <v>42791</v>
      </c>
      <c r="F962" s="61">
        <v>0.57708000000000004</v>
      </c>
      <c r="G962" s="63">
        <v>42791</v>
      </c>
      <c r="H962" s="61">
        <v>0.61874666666666667</v>
      </c>
      <c r="I962" s="55">
        <v>30</v>
      </c>
      <c r="J962" s="56" t="s">
        <v>227</v>
      </c>
      <c r="K962" s="75" t="s">
        <v>228</v>
      </c>
      <c r="L962" s="70">
        <v>0</v>
      </c>
    </row>
    <row r="963" spans="1:12" ht="15" customHeight="1">
      <c r="A963" s="53" t="s">
        <v>220</v>
      </c>
      <c r="B963" s="53" t="s">
        <v>174</v>
      </c>
      <c r="C963" s="54">
        <f t="shared" ref="C963:C1000" si="30">E963+F963</f>
        <v>43078.353239999997</v>
      </c>
      <c r="D963" s="54">
        <f t="shared" ref="D963:D1000" si="31">G963+H963</f>
        <v>43078.394906666668</v>
      </c>
      <c r="E963" s="63">
        <v>43078</v>
      </c>
      <c r="F963" s="61">
        <v>0.35324</v>
      </c>
      <c r="G963" s="63">
        <v>43078</v>
      </c>
      <c r="H963" s="61">
        <v>0.39490666666666668</v>
      </c>
      <c r="I963" s="55">
        <v>30</v>
      </c>
      <c r="J963" s="56" t="s">
        <v>229</v>
      </c>
      <c r="K963" s="75" t="s">
        <v>228</v>
      </c>
      <c r="L963" s="70">
        <v>0</v>
      </c>
    </row>
    <row r="964" spans="1:12" ht="15" customHeight="1">
      <c r="A964" s="53" t="s">
        <v>219</v>
      </c>
      <c r="B964" s="53" t="s">
        <v>175</v>
      </c>
      <c r="C964" s="54">
        <f t="shared" si="30"/>
        <v>42779.592490000003</v>
      </c>
      <c r="D964" s="54">
        <f t="shared" si="31"/>
        <v>42779.634156666667</v>
      </c>
      <c r="E964" s="63">
        <v>42779</v>
      </c>
      <c r="F964" s="61">
        <v>0.59248999999999996</v>
      </c>
      <c r="G964" s="63">
        <v>42779</v>
      </c>
      <c r="H964" s="61">
        <v>0.63415666666666659</v>
      </c>
      <c r="I964" s="55">
        <v>30</v>
      </c>
      <c r="J964" s="56" t="s">
        <v>232</v>
      </c>
      <c r="K964" s="75" t="s">
        <v>231</v>
      </c>
      <c r="L964" s="70">
        <v>0</v>
      </c>
    </row>
    <row r="965" spans="1:12" ht="15" customHeight="1">
      <c r="A965" s="53" t="s">
        <v>219</v>
      </c>
      <c r="B965" s="53" t="s">
        <v>176</v>
      </c>
      <c r="C965" s="54">
        <f t="shared" si="30"/>
        <v>42795.439279999999</v>
      </c>
      <c r="D965" s="54">
        <f t="shared" si="31"/>
        <v>42795.48094666667</v>
      </c>
      <c r="E965" s="63">
        <v>42795</v>
      </c>
      <c r="F965" s="61">
        <v>0.43928</v>
      </c>
      <c r="G965" s="63">
        <v>42795</v>
      </c>
      <c r="H965" s="61">
        <v>0.48094666666666669</v>
      </c>
      <c r="I965" s="55">
        <v>30</v>
      </c>
      <c r="J965" s="56" t="s">
        <v>229</v>
      </c>
      <c r="K965" s="75" t="s">
        <v>228</v>
      </c>
      <c r="L965" s="70">
        <v>0</v>
      </c>
    </row>
    <row r="966" spans="1:12" ht="15" customHeight="1">
      <c r="A966" s="53" t="s">
        <v>218</v>
      </c>
      <c r="B966" s="53" t="s">
        <v>177</v>
      </c>
      <c r="C966" s="54">
        <f t="shared" si="30"/>
        <v>42948.472500000003</v>
      </c>
      <c r="D966" s="54">
        <f t="shared" si="31"/>
        <v>42948.514166666668</v>
      </c>
      <c r="E966" s="63">
        <v>42948</v>
      </c>
      <c r="F966" s="61">
        <v>0.47249999999999998</v>
      </c>
      <c r="G966" s="63">
        <v>42948</v>
      </c>
      <c r="H966" s="61">
        <v>0.51416666666666666</v>
      </c>
      <c r="I966" s="55">
        <v>30</v>
      </c>
      <c r="J966" s="56" t="s">
        <v>229</v>
      </c>
      <c r="K966" s="75" t="s">
        <v>228</v>
      </c>
      <c r="L966" s="70">
        <v>0</v>
      </c>
    </row>
    <row r="967" spans="1:12" ht="15" customHeight="1">
      <c r="A967" s="53" t="s">
        <v>217</v>
      </c>
      <c r="B967" s="53" t="s">
        <v>178</v>
      </c>
      <c r="C967" s="54">
        <f t="shared" si="30"/>
        <v>42770.615660000003</v>
      </c>
      <c r="D967" s="54">
        <f t="shared" si="31"/>
        <v>42770.657326666667</v>
      </c>
      <c r="E967" s="63">
        <v>42770</v>
      </c>
      <c r="F967" s="61">
        <v>0.61565999999999999</v>
      </c>
      <c r="G967" s="63">
        <v>42770</v>
      </c>
      <c r="H967" s="61">
        <v>0.65732666666666661</v>
      </c>
      <c r="I967" s="55">
        <v>30</v>
      </c>
      <c r="J967" s="56" t="s">
        <v>229</v>
      </c>
      <c r="K967" s="75" t="s">
        <v>231</v>
      </c>
      <c r="L967" s="70">
        <v>0</v>
      </c>
    </row>
    <row r="968" spans="1:12" ht="15" customHeight="1">
      <c r="A968" s="53" t="s">
        <v>219</v>
      </c>
      <c r="B968" s="53" t="s">
        <v>179</v>
      </c>
      <c r="C968" s="54">
        <f t="shared" si="30"/>
        <v>42799.388099999996</v>
      </c>
      <c r="D968" s="54">
        <f t="shared" si="31"/>
        <v>42799.429766666668</v>
      </c>
      <c r="E968" s="63">
        <v>42799</v>
      </c>
      <c r="F968" s="61">
        <v>0.3881</v>
      </c>
      <c r="G968" s="63">
        <v>42799</v>
      </c>
      <c r="H968" s="61">
        <v>0.42976666666666669</v>
      </c>
      <c r="I968" s="55">
        <v>30</v>
      </c>
      <c r="J968" s="56" t="s">
        <v>229</v>
      </c>
      <c r="K968" s="75" t="s">
        <v>231</v>
      </c>
      <c r="L968" s="70">
        <v>0</v>
      </c>
    </row>
    <row r="969" spans="1:12" ht="15" customHeight="1">
      <c r="A969" s="53" t="s">
        <v>217</v>
      </c>
      <c r="B969" s="53" t="s">
        <v>180</v>
      </c>
      <c r="C969" s="54">
        <f t="shared" si="30"/>
        <v>42926.40122</v>
      </c>
      <c r="D969" s="54">
        <f t="shared" si="31"/>
        <v>42926.442886666664</v>
      </c>
      <c r="E969" s="63">
        <v>42926</v>
      </c>
      <c r="F969" s="61">
        <v>0.40122000000000002</v>
      </c>
      <c r="G969" s="63">
        <v>42926</v>
      </c>
      <c r="H969" s="61">
        <v>0.44288666666666671</v>
      </c>
      <c r="I969" s="55">
        <v>30</v>
      </c>
      <c r="J969" s="56" t="s">
        <v>229</v>
      </c>
      <c r="K969" s="75" t="s">
        <v>228</v>
      </c>
      <c r="L969" s="70">
        <v>0</v>
      </c>
    </row>
    <row r="970" spans="1:12" ht="15" customHeight="1">
      <c r="A970" s="53" t="s">
        <v>217</v>
      </c>
      <c r="B970" s="53" t="s">
        <v>181</v>
      </c>
      <c r="C970" s="54">
        <f t="shared" si="30"/>
        <v>42861.618820000003</v>
      </c>
      <c r="D970" s="54">
        <f t="shared" si="31"/>
        <v>42861.660486666668</v>
      </c>
      <c r="E970" s="63">
        <v>42861</v>
      </c>
      <c r="F970" s="61">
        <v>0.61882000000000004</v>
      </c>
      <c r="G970" s="63">
        <v>42861</v>
      </c>
      <c r="H970" s="61">
        <v>0.66048666666666667</v>
      </c>
      <c r="I970" s="55">
        <v>30</v>
      </c>
      <c r="J970" s="56" t="s">
        <v>229</v>
      </c>
      <c r="K970" s="75" t="s">
        <v>231</v>
      </c>
      <c r="L970" s="70">
        <v>0</v>
      </c>
    </row>
    <row r="971" spans="1:12" ht="15" customHeight="1">
      <c r="A971" s="53" t="s">
        <v>217</v>
      </c>
      <c r="B971" s="53" t="s">
        <v>182</v>
      </c>
      <c r="C971" s="54">
        <f t="shared" si="30"/>
        <v>42934.57069</v>
      </c>
      <c r="D971" s="54">
        <f t="shared" si="31"/>
        <v>42934.612356666665</v>
      </c>
      <c r="E971" s="63">
        <v>42934</v>
      </c>
      <c r="F971" s="61">
        <v>0.57069000000000003</v>
      </c>
      <c r="G971" s="63">
        <v>42934</v>
      </c>
      <c r="H971" s="61">
        <v>0.61235666666666666</v>
      </c>
      <c r="I971" s="55">
        <v>30</v>
      </c>
      <c r="J971" s="56" t="s">
        <v>232</v>
      </c>
      <c r="K971" s="75" t="s">
        <v>231</v>
      </c>
      <c r="L971" s="70">
        <v>0</v>
      </c>
    </row>
    <row r="972" spans="1:12" ht="15" customHeight="1">
      <c r="A972" s="53" t="s">
        <v>217</v>
      </c>
      <c r="B972" s="53" t="s">
        <v>183</v>
      </c>
      <c r="C972" s="54">
        <f t="shared" si="30"/>
        <v>43083.486680000002</v>
      </c>
      <c r="D972" s="54">
        <f t="shared" si="31"/>
        <v>43083.528346666666</v>
      </c>
      <c r="E972" s="63">
        <v>43083</v>
      </c>
      <c r="F972" s="61">
        <v>0.48668</v>
      </c>
      <c r="G972" s="63">
        <v>43083</v>
      </c>
      <c r="H972" s="61">
        <v>0.52834666666666663</v>
      </c>
      <c r="I972" s="55">
        <v>30</v>
      </c>
      <c r="J972" s="56" t="s">
        <v>227</v>
      </c>
      <c r="K972" s="75" t="s">
        <v>230</v>
      </c>
      <c r="L972" s="70">
        <v>0</v>
      </c>
    </row>
    <row r="973" spans="1:12" ht="15" customHeight="1">
      <c r="A973" s="53" t="s">
        <v>219</v>
      </c>
      <c r="B973" s="53" t="s">
        <v>184</v>
      </c>
      <c r="C973" s="54">
        <f t="shared" si="30"/>
        <v>43000.46989</v>
      </c>
      <c r="D973" s="54">
        <f t="shared" si="31"/>
        <v>43000.511556666665</v>
      </c>
      <c r="E973" s="63">
        <v>43000</v>
      </c>
      <c r="F973" s="61">
        <v>0.46988999999999997</v>
      </c>
      <c r="G973" s="63">
        <v>43000</v>
      </c>
      <c r="H973" s="61">
        <v>0.51155666666666666</v>
      </c>
      <c r="I973" s="55">
        <v>30</v>
      </c>
      <c r="J973" s="56" t="s">
        <v>229</v>
      </c>
      <c r="K973" s="75" t="s">
        <v>228</v>
      </c>
      <c r="L973" s="70">
        <v>0</v>
      </c>
    </row>
    <row r="974" spans="1:12" ht="15" customHeight="1">
      <c r="A974" s="53" t="s">
        <v>217</v>
      </c>
      <c r="B974" s="53" t="s">
        <v>185</v>
      </c>
      <c r="C974" s="54">
        <f t="shared" si="30"/>
        <v>42985.737710000001</v>
      </c>
      <c r="D974" s="54">
        <f t="shared" si="31"/>
        <v>42985.779376666665</v>
      </c>
      <c r="E974" s="63">
        <v>42985</v>
      </c>
      <c r="F974" s="61">
        <v>0.73770999999999998</v>
      </c>
      <c r="G974" s="63">
        <v>42985</v>
      </c>
      <c r="H974" s="61">
        <v>0.77937666666666661</v>
      </c>
      <c r="I974" s="55">
        <v>30</v>
      </c>
      <c r="J974" s="56" t="s">
        <v>227</v>
      </c>
      <c r="K974" s="75" t="s">
        <v>231</v>
      </c>
      <c r="L974" s="70">
        <v>0</v>
      </c>
    </row>
    <row r="975" spans="1:12" ht="15" customHeight="1">
      <c r="A975" s="53" t="s">
        <v>216</v>
      </c>
      <c r="B975" s="53" t="s">
        <v>186</v>
      </c>
      <c r="C975" s="54">
        <f t="shared" si="30"/>
        <v>43085.58223</v>
      </c>
      <c r="D975" s="54">
        <f t="shared" si="31"/>
        <v>43085.623896666664</v>
      </c>
      <c r="E975" s="63">
        <v>43085</v>
      </c>
      <c r="F975" s="61">
        <v>0.58223000000000003</v>
      </c>
      <c r="G975" s="63">
        <v>43085</v>
      </c>
      <c r="H975" s="61">
        <v>0.62389666666666665</v>
      </c>
      <c r="I975" s="55">
        <v>30</v>
      </c>
      <c r="J975" s="56" t="s">
        <v>229</v>
      </c>
      <c r="K975" s="75" t="s">
        <v>231</v>
      </c>
      <c r="L975" s="70">
        <v>0</v>
      </c>
    </row>
    <row r="976" spans="1:12" ht="15" customHeight="1">
      <c r="A976" s="53" t="s">
        <v>216</v>
      </c>
      <c r="B976" s="53" t="s">
        <v>187</v>
      </c>
      <c r="C976" s="54">
        <f t="shared" si="30"/>
        <v>42881.664980000001</v>
      </c>
      <c r="D976" s="54">
        <f t="shared" si="31"/>
        <v>42881.706646666666</v>
      </c>
      <c r="E976" s="63">
        <v>42881</v>
      </c>
      <c r="F976" s="61">
        <v>0.66498000000000002</v>
      </c>
      <c r="G976" s="63">
        <v>42881</v>
      </c>
      <c r="H976" s="61">
        <v>0.70664666666666665</v>
      </c>
      <c r="I976" s="55">
        <v>30</v>
      </c>
      <c r="J976" s="56" t="s">
        <v>229</v>
      </c>
      <c r="K976" s="75" t="s">
        <v>230</v>
      </c>
      <c r="L976" s="70">
        <v>0</v>
      </c>
    </row>
    <row r="977" spans="1:12" ht="15" customHeight="1">
      <c r="A977" s="53" t="s">
        <v>219</v>
      </c>
      <c r="B977" s="53" t="s">
        <v>188</v>
      </c>
      <c r="C977" s="54">
        <f t="shared" si="30"/>
        <v>42818.720630000003</v>
      </c>
      <c r="D977" s="54">
        <f t="shared" si="31"/>
        <v>42818.762296666668</v>
      </c>
      <c r="E977" s="63">
        <v>42818</v>
      </c>
      <c r="F977" s="61">
        <v>0.72062999999999999</v>
      </c>
      <c r="G977" s="63">
        <v>42818</v>
      </c>
      <c r="H977" s="61">
        <v>0.76229666666666662</v>
      </c>
      <c r="I977" s="55">
        <v>30</v>
      </c>
      <c r="J977" s="56" t="s">
        <v>232</v>
      </c>
      <c r="K977" s="75" t="s">
        <v>231</v>
      </c>
      <c r="L977" s="70">
        <v>0</v>
      </c>
    </row>
    <row r="978" spans="1:12" ht="15" customHeight="1">
      <c r="A978" s="53" t="s">
        <v>218</v>
      </c>
      <c r="B978" s="53" t="s">
        <v>189</v>
      </c>
      <c r="C978" s="54">
        <f t="shared" si="30"/>
        <v>42814.597710000002</v>
      </c>
      <c r="D978" s="54">
        <f t="shared" si="31"/>
        <v>42814.639376666666</v>
      </c>
      <c r="E978" s="63">
        <v>42814</v>
      </c>
      <c r="F978" s="61">
        <v>0.59770999999999996</v>
      </c>
      <c r="G978" s="63">
        <v>42814</v>
      </c>
      <c r="H978" s="61">
        <v>0.63937666666666659</v>
      </c>
      <c r="I978" s="55">
        <v>30</v>
      </c>
      <c r="J978" s="56" t="s">
        <v>232</v>
      </c>
      <c r="K978" s="75" t="s">
        <v>231</v>
      </c>
      <c r="L978" s="70">
        <v>0</v>
      </c>
    </row>
    <row r="979" spans="1:12" ht="15" customHeight="1">
      <c r="A979" s="53" t="s">
        <v>219</v>
      </c>
      <c r="B979" s="53" t="s">
        <v>190</v>
      </c>
      <c r="C979" s="54">
        <f t="shared" si="30"/>
        <v>42869.698429999997</v>
      </c>
      <c r="D979" s="54">
        <f t="shared" si="31"/>
        <v>42869.740096666668</v>
      </c>
      <c r="E979" s="63">
        <v>42869</v>
      </c>
      <c r="F979" s="61">
        <v>0.69843</v>
      </c>
      <c r="G979" s="63">
        <v>42869</v>
      </c>
      <c r="H979" s="61">
        <v>0.74009666666666662</v>
      </c>
      <c r="I979" s="55">
        <v>30</v>
      </c>
      <c r="J979" s="56" t="s">
        <v>232</v>
      </c>
      <c r="K979" s="75" t="s">
        <v>230</v>
      </c>
      <c r="L979" s="70">
        <v>0</v>
      </c>
    </row>
    <row r="980" spans="1:12" ht="15" customHeight="1">
      <c r="A980" s="53" t="s">
        <v>218</v>
      </c>
      <c r="B980" s="53" t="s">
        <v>191</v>
      </c>
      <c r="C980" s="54">
        <f t="shared" si="30"/>
        <v>42956.76412</v>
      </c>
      <c r="D980" s="54">
        <f t="shared" si="31"/>
        <v>42956.805786666664</v>
      </c>
      <c r="E980" s="63">
        <v>42956</v>
      </c>
      <c r="F980" s="61">
        <v>0.76412000000000002</v>
      </c>
      <c r="G980" s="63">
        <v>42956</v>
      </c>
      <c r="H980" s="61">
        <v>0.80578666666666665</v>
      </c>
      <c r="I980" s="55">
        <v>30</v>
      </c>
      <c r="J980" s="56" t="s">
        <v>229</v>
      </c>
      <c r="K980" s="75" t="s">
        <v>231</v>
      </c>
      <c r="L980" s="70">
        <v>0</v>
      </c>
    </row>
    <row r="981" spans="1:12" ht="15" customHeight="1">
      <c r="A981" s="53" t="s">
        <v>219</v>
      </c>
      <c r="B981" s="53" t="s">
        <v>192</v>
      </c>
      <c r="C981" s="54">
        <f t="shared" si="30"/>
        <v>42762.32546</v>
      </c>
      <c r="D981" s="54">
        <f t="shared" si="31"/>
        <v>42762.367126666664</v>
      </c>
      <c r="E981" s="63">
        <v>42762</v>
      </c>
      <c r="F981" s="61">
        <v>0.32546000000000003</v>
      </c>
      <c r="G981" s="63">
        <v>42762</v>
      </c>
      <c r="H981" s="61">
        <v>0.36712666666666671</v>
      </c>
      <c r="I981" s="55">
        <v>30</v>
      </c>
      <c r="J981" s="56" t="s">
        <v>227</v>
      </c>
      <c r="K981" s="75" t="s">
        <v>231</v>
      </c>
      <c r="L981" s="70">
        <v>0</v>
      </c>
    </row>
    <row r="982" spans="1:12" ht="15" customHeight="1">
      <c r="A982" s="53" t="s">
        <v>218</v>
      </c>
      <c r="B982" s="53" t="s">
        <v>193</v>
      </c>
      <c r="C982" s="54">
        <f t="shared" si="30"/>
        <v>42896.383800000003</v>
      </c>
      <c r="D982" s="54">
        <f t="shared" si="31"/>
        <v>42896.425466666667</v>
      </c>
      <c r="E982" s="63">
        <v>42896</v>
      </c>
      <c r="F982" s="61">
        <v>0.38379999999999997</v>
      </c>
      <c r="G982" s="63">
        <v>42896</v>
      </c>
      <c r="H982" s="61">
        <v>0.42546666666666666</v>
      </c>
      <c r="I982" s="55">
        <v>30</v>
      </c>
      <c r="J982" s="56" t="s">
        <v>227</v>
      </c>
      <c r="K982" s="75" t="s">
        <v>228</v>
      </c>
      <c r="L982" s="70">
        <v>0</v>
      </c>
    </row>
    <row r="983" spans="1:12" ht="15" customHeight="1">
      <c r="A983" s="53" t="s">
        <v>219</v>
      </c>
      <c r="B983" s="53" t="s">
        <v>194</v>
      </c>
      <c r="C983" s="54">
        <f t="shared" si="30"/>
        <v>42780.420579999998</v>
      </c>
      <c r="D983" s="54">
        <f t="shared" si="31"/>
        <v>42780.46224666667</v>
      </c>
      <c r="E983" s="63">
        <v>42780</v>
      </c>
      <c r="F983" s="61">
        <v>0.42058000000000001</v>
      </c>
      <c r="G983" s="63">
        <v>42780</v>
      </c>
      <c r="H983" s="61">
        <v>0.46224666666666669</v>
      </c>
      <c r="I983" s="55">
        <v>30</v>
      </c>
      <c r="J983" s="56" t="s">
        <v>229</v>
      </c>
      <c r="K983" s="75" t="s">
        <v>228</v>
      </c>
      <c r="L983" s="70">
        <v>0</v>
      </c>
    </row>
    <row r="984" spans="1:12" ht="15" customHeight="1">
      <c r="A984" s="53" t="s">
        <v>219</v>
      </c>
      <c r="B984" s="53" t="s">
        <v>195</v>
      </c>
      <c r="C984" s="54">
        <f t="shared" si="30"/>
        <v>43071.418420000002</v>
      </c>
      <c r="D984" s="54">
        <f t="shared" si="31"/>
        <v>43071.460086666666</v>
      </c>
      <c r="E984" s="63">
        <v>43071</v>
      </c>
      <c r="F984" s="61">
        <v>0.41842000000000001</v>
      </c>
      <c r="G984" s="63">
        <v>43071</v>
      </c>
      <c r="H984" s="61">
        <v>0.4600866666666667</v>
      </c>
      <c r="I984" s="55">
        <v>30</v>
      </c>
      <c r="J984" s="56" t="s">
        <v>232</v>
      </c>
      <c r="K984" s="75" t="s">
        <v>228</v>
      </c>
      <c r="L984" s="70">
        <v>0</v>
      </c>
    </row>
    <row r="985" spans="1:12" ht="15" customHeight="1">
      <c r="A985" s="53" t="s">
        <v>218</v>
      </c>
      <c r="B985" s="53" t="s">
        <v>196</v>
      </c>
      <c r="C985" s="54">
        <f t="shared" si="30"/>
        <v>43040.719169999997</v>
      </c>
      <c r="D985" s="54">
        <f t="shared" si="31"/>
        <v>43040.760836666668</v>
      </c>
      <c r="E985" s="63">
        <v>43040</v>
      </c>
      <c r="F985" s="61">
        <v>0.71916999999999998</v>
      </c>
      <c r="G985" s="63">
        <v>43040</v>
      </c>
      <c r="H985" s="61">
        <v>0.76083666666666661</v>
      </c>
      <c r="I985" s="55">
        <v>30</v>
      </c>
      <c r="J985" s="56" t="s">
        <v>232</v>
      </c>
      <c r="K985" s="75" t="s">
        <v>230</v>
      </c>
      <c r="L985" s="70">
        <v>0</v>
      </c>
    </row>
    <row r="986" spans="1:12" ht="15" customHeight="1">
      <c r="A986" s="53" t="s">
        <v>216</v>
      </c>
      <c r="B986" s="53" t="s">
        <v>197</v>
      </c>
      <c r="C986" s="54">
        <f t="shared" si="30"/>
        <v>42855.674590000002</v>
      </c>
      <c r="D986" s="54">
        <f t="shared" si="31"/>
        <v>42855.716256666667</v>
      </c>
      <c r="E986" s="63">
        <v>42855</v>
      </c>
      <c r="F986" s="61">
        <v>0.67459000000000002</v>
      </c>
      <c r="G986" s="63">
        <v>42855</v>
      </c>
      <c r="H986" s="61">
        <v>0.71625666666666665</v>
      </c>
      <c r="I986" s="55">
        <v>30</v>
      </c>
      <c r="J986" s="56" t="s">
        <v>227</v>
      </c>
      <c r="K986" s="75" t="s">
        <v>230</v>
      </c>
      <c r="L986" s="70">
        <v>0</v>
      </c>
    </row>
    <row r="987" spans="1:12" ht="15" customHeight="1">
      <c r="A987" s="53" t="s">
        <v>216</v>
      </c>
      <c r="B987" s="53" t="s">
        <v>198</v>
      </c>
      <c r="C987" s="54">
        <f t="shared" si="30"/>
        <v>42870.645279999997</v>
      </c>
      <c r="D987" s="54">
        <f t="shared" si="31"/>
        <v>42870.686946666669</v>
      </c>
      <c r="E987" s="63">
        <v>42870</v>
      </c>
      <c r="F987" s="61">
        <v>0.64527999999999996</v>
      </c>
      <c r="G987" s="63">
        <v>42870</v>
      </c>
      <c r="H987" s="61">
        <v>0.68694666666666659</v>
      </c>
      <c r="I987" s="55">
        <v>30</v>
      </c>
      <c r="J987" s="56" t="s">
        <v>232</v>
      </c>
      <c r="K987" s="75" t="s">
        <v>228</v>
      </c>
      <c r="L987" s="70">
        <v>0</v>
      </c>
    </row>
    <row r="988" spans="1:12" ht="15" customHeight="1">
      <c r="A988" s="53" t="s">
        <v>219</v>
      </c>
      <c r="B988" s="53" t="s">
        <v>199</v>
      </c>
      <c r="C988" s="54">
        <f t="shared" si="30"/>
        <v>43010.659180000002</v>
      </c>
      <c r="D988" s="54">
        <f t="shared" si="31"/>
        <v>43010.700846666667</v>
      </c>
      <c r="E988" s="63">
        <v>43010</v>
      </c>
      <c r="F988" s="61">
        <v>0.65917999999999999</v>
      </c>
      <c r="G988" s="63">
        <v>43010</v>
      </c>
      <c r="H988" s="61">
        <v>0.70084666666666662</v>
      </c>
      <c r="I988" s="55">
        <v>30</v>
      </c>
      <c r="J988" s="56" t="s">
        <v>232</v>
      </c>
      <c r="K988" s="75" t="s">
        <v>231</v>
      </c>
      <c r="L988" s="70">
        <v>0</v>
      </c>
    </row>
    <row r="989" spans="1:12" ht="15" customHeight="1">
      <c r="A989" s="53" t="s">
        <v>217</v>
      </c>
      <c r="B989" s="53" t="s">
        <v>200</v>
      </c>
      <c r="C989" s="54">
        <f t="shared" si="30"/>
        <v>42753.524960000002</v>
      </c>
      <c r="D989" s="54">
        <f t="shared" si="31"/>
        <v>42753.566626666667</v>
      </c>
      <c r="E989" s="63">
        <v>42753</v>
      </c>
      <c r="F989" s="61">
        <v>0.52495999999999998</v>
      </c>
      <c r="G989" s="63">
        <v>42753</v>
      </c>
      <c r="H989" s="61">
        <v>0.56662666666666661</v>
      </c>
      <c r="I989" s="55">
        <v>30</v>
      </c>
      <c r="J989" s="56" t="s">
        <v>232</v>
      </c>
      <c r="K989" s="75" t="s">
        <v>228</v>
      </c>
      <c r="L989" s="70">
        <v>0</v>
      </c>
    </row>
    <row r="990" spans="1:12" ht="15" customHeight="1">
      <c r="A990" s="53" t="s">
        <v>220</v>
      </c>
      <c r="B990" s="53" t="s">
        <v>201</v>
      </c>
      <c r="C990" s="54">
        <f t="shared" si="30"/>
        <v>43021.315040000001</v>
      </c>
      <c r="D990" s="54">
        <f t="shared" si="31"/>
        <v>43021.356706666666</v>
      </c>
      <c r="E990" s="63">
        <v>43021</v>
      </c>
      <c r="F990" s="61">
        <v>0.31503999999999999</v>
      </c>
      <c r="G990" s="63">
        <v>43021</v>
      </c>
      <c r="H990" s="61">
        <v>0.35670666666666667</v>
      </c>
      <c r="I990" s="55">
        <v>30</v>
      </c>
      <c r="J990" s="56" t="s">
        <v>232</v>
      </c>
      <c r="K990" s="75" t="s">
        <v>230</v>
      </c>
      <c r="L990" s="70">
        <v>0</v>
      </c>
    </row>
    <row r="991" spans="1:12" ht="15" customHeight="1">
      <c r="A991" s="53" t="s">
        <v>217</v>
      </c>
      <c r="B991" s="53" t="s">
        <v>202</v>
      </c>
      <c r="C991" s="54">
        <f t="shared" si="30"/>
        <v>43014.709130000003</v>
      </c>
      <c r="D991" s="54">
        <f t="shared" si="31"/>
        <v>43014.750796666667</v>
      </c>
      <c r="E991" s="63">
        <v>43014</v>
      </c>
      <c r="F991" s="61">
        <v>0.70913000000000004</v>
      </c>
      <c r="G991" s="63">
        <v>43014</v>
      </c>
      <c r="H991" s="61">
        <v>0.75079666666666667</v>
      </c>
      <c r="I991" s="55">
        <v>30</v>
      </c>
      <c r="J991" s="56" t="s">
        <v>227</v>
      </c>
      <c r="K991" s="75" t="s">
        <v>228</v>
      </c>
      <c r="L991" s="70">
        <v>0</v>
      </c>
    </row>
    <row r="992" spans="1:12" ht="15" customHeight="1">
      <c r="A992" s="53" t="s">
        <v>216</v>
      </c>
      <c r="B992" s="53" t="s">
        <v>203</v>
      </c>
      <c r="C992" s="54">
        <f t="shared" si="30"/>
        <v>43030.537530000001</v>
      </c>
      <c r="D992" s="54">
        <f t="shared" si="31"/>
        <v>43030.579196666666</v>
      </c>
      <c r="E992" s="63">
        <v>43030</v>
      </c>
      <c r="F992" s="61">
        <v>0.53752999999999995</v>
      </c>
      <c r="G992" s="63">
        <v>43030</v>
      </c>
      <c r="H992" s="61">
        <v>0.57919666666666658</v>
      </c>
      <c r="I992" s="55">
        <v>30</v>
      </c>
      <c r="J992" s="56" t="s">
        <v>227</v>
      </c>
      <c r="K992" s="75" t="s">
        <v>228</v>
      </c>
      <c r="L992" s="70">
        <v>0</v>
      </c>
    </row>
    <row r="993" spans="1:12" ht="15" customHeight="1">
      <c r="A993" s="53" t="s">
        <v>216</v>
      </c>
      <c r="B993" s="53" t="s">
        <v>204</v>
      </c>
      <c r="C993" s="54">
        <f t="shared" si="30"/>
        <v>43033.734709999997</v>
      </c>
      <c r="D993" s="54">
        <f t="shared" si="31"/>
        <v>43033.776376666669</v>
      </c>
      <c r="E993" s="63">
        <v>43033</v>
      </c>
      <c r="F993" s="61">
        <v>0.73470999999999997</v>
      </c>
      <c r="G993" s="63">
        <v>43033</v>
      </c>
      <c r="H993" s="61">
        <v>0.7763766666666666</v>
      </c>
      <c r="I993" s="55">
        <v>30</v>
      </c>
      <c r="J993" s="56" t="s">
        <v>232</v>
      </c>
      <c r="K993" s="75" t="s">
        <v>228</v>
      </c>
      <c r="L993" s="70">
        <v>0</v>
      </c>
    </row>
    <row r="994" spans="1:12" ht="15" customHeight="1">
      <c r="A994" s="53" t="s">
        <v>219</v>
      </c>
      <c r="B994" s="53" t="s">
        <v>205</v>
      </c>
      <c r="C994" s="54">
        <f t="shared" si="30"/>
        <v>42836.619180000002</v>
      </c>
      <c r="D994" s="54">
        <f t="shared" si="31"/>
        <v>42836.660846666666</v>
      </c>
      <c r="E994" s="63">
        <v>42836</v>
      </c>
      <c r="F994" s="61">
        <v>0.61917999999999995</v>
      </c>
      <c r="G994" s="63">
        <v>42836</v>
      </c>
      <c r="H994" s="61">
        <v>0.66084666666666658</v>
      </c>
      <c r="I994" s="55">
        <v>30</v>
      </c>
      <c r="J994" s="56" t="s">
        <v>229</v>
      </c>
      <c r="K994" s="75" t="s">
        <v>228</v>
      </c>
      <c r="L994" s="70">
        <v>0</v>
      </c>
    </row>
    <row r="995" spans="1:12" ht="15" customHeight="1">
      <c r="A995" s="53" t="s">
        <v>218</v>
      </c>
      <c r="B995" s="53" t="s">
        <v>206</v>
      </c>
      <c r="C995" s="54">
        <f t="shared" si="30"/>
        <v>43081.622949999997</v>
      </c>
      <c r="D995" s="54">
        <f t="shared" si="31"/>
        <v>43081.664616666669</v>
      </c>
      <c r="E995" s="63">
        <v>43081</v>
      </c>
      <c r="F995" s="61">
        <v>0.62295</v>
      </c>
      <c r="G995" s="63">
        <v>43081</v>
      </c>
      <c r="H995" s="61">
        <v>0.66461666666666663</v>
      </c>
      <c r="I995" s="55">
        <v>30</v>
      </c>
      <c r="J995" s="56" t="s">
        <v>229</v>
      </c>
      <c r="K995" s="75" t="s">
        <v>230</v>
      </c>
      <c r="L995" s="70">
        <v>0</v>
      </c>
    </row>
    <row r="996" spans="1:12" ht="15" customHeight="1">
      <c r="A996" s="53" t="s">
        <v>220</v>
      </c>
      <c r="B996" s="53" t="s">
        <v>207</v>
      </c>
      <c r="C996" s="54">
        <f t="shared" si="30"/>
        <v>42748.623090000001</v>
      </c>
      <c r="D996" s="54">
        <f t="shared" si="31"/>
        <v>42748.664756666665</v>
      </c>
      <c r="E996" s="63">
        <v>42748</v>
      </c>
      <c r="F996" s="61">
        <v>0.62309000000000003</v>
      </c>
      <c r="G996" s="63">
        <v>42748</v>
      </c>
      <c r="H996" s="61">
        <v>0.66475666666666666</v>
      </c>
      <c r="I996" s="55">
        <v>30</v>
      </c>
      <c r="J996" s="56" t="s">
        <v>229</v>
      </c>
      <c r="K996" s="75" t="s">
        <v>228</v>
      </c>
      <c r="L996" s="70">
        <v>0</v>
      </c>
    </row>
    <row r="997" spans="1:12" ht="15" customHeight="1">
      <c r="A997" s="53" t="s">
        <v>219</v>
      </c>
      <c r="B997" s="53" t="s">
        <v>208</v>
      </c>
      <c r="C997" s="54">
        <f t="shared" si="30"/>
        <v>42966.362130000001</v>
      </c>
      <c r="D997" s="54">
        <f t="shared" si="31"/>
        <v>42966.403796666666</v>
      </c>
      <c r="E997" s="63">
        <v>42966</v>
      </c>
      <c r="F997" s="61">
        <v>0.36213000000000001</v>
      </c>
      <c r="G997" s="63">
        <v>42966</v>
      </c>
      <c r="H997" s="61">
        <v>0.40379666666666669</v>
      </c>
      <c r="I997" s="55">
        <v>30</v>
      </c>
      <c r="J997" s="56" t="s">
        <v>232</v>
      </c>
      <c r="K997" s="75" t="s">
        <v>230</v>
      </c>
      <c r="L997" s="70">
        <v>0</v>
      </c>
    </row>
    <row r="998" spans="1:12" ht="15" customHeight="1">
      <c r="A998" s="53" t="s">
        <v>216</v>
      </c>
      <c r="B998" s="53" t="s">
        <v>209</v>
      </c>
      <c r="C998" s="54">
        <f t="shared" si="30"/>
        <v>43065.41403</v>
      </c>
      <c r="D998" s="54">
        <f t="shared" si="31"/>
        <v>43065.455696666664</v>
      </c>
      <c r="E998" s="63">
        <v>43065</v>
      </c>
      <c r="F998" s="61">
        <v>0.41403000000000001</v>
      </c>
      <c r="G998" s="63">
        <v>43065</v>
      </c>
      <c r="H998" s="61">
        <v>0.45569666666666669</v>
      </c>
      <c r="I998" s="55">
        <v>30</v>
      </c>
      <c r="J998" s="56" t="s">
        <v>229</v>
      </c>
      <c r="K998" s="75" t="s">
        <v>231</v>
      </c>
      <c r="L998" s="70">
        <v>0</v>
      </c>
    </row>
    <row r="999" spans="1:12" ht="15" customHeight="1">
      <c r="A999" s="53" t="s">
        <v>219</v>
      </c>
      <c r="B999" s="53" t="s">
        <v>210</v>
      </c>
      <c r="C999" s="54">
        <f t="shared" si="30"/>
        <v>42789.336689999996</v>
      </c>
      <c r="D999" s="54">
        <f t="shared" si="31"/>
        <v>42789.378356666668</v>
      </c>
      <c r="E999" s="63">
        <v>42789</v>
      </c>
      <c r="F999" s="61">
        <v>0.33668999999999999</v>
      </c>
      <c r="G999" s="63">
        <v>42789</v>
      </c>
      <c r="H999" s="61">
        <v>0.37835666666666667</v>
      </c>
      <c r="I999" s="55">
        <v>30</v>
      </c>
      <c r="J999" s="56" t="s">
        <v>232</v>
      </c>
      <c r="K999" s="75" t="s">
        <v>228</v>
      </c>
      <c r="L999" s="70">
        <v>0</v>
      </c>
    </row>
    <row r="1000" spans="1:12" ht="15" customHeight="1">
      <c r="A1000" s="53" t="s">
        <v>216</v>
      </c>
      <c r="B1000" s="53" t="s">
        <v>211</v>
      </c>
      <c r="C1000" s="54">
        <f t="shared" si="30"/>
        <v>42874.748149999999</v>
      </c>
      <c r="D1000" s="54">
        <f t="shared" si="31"/>
        <v>42874.789816666664</v>
      </c>
      <c r="E1000" s="63">
        <v>42874</v>
      </c>
      <c r="F1000" s="61">
        <v>0.74814999999999998</v>
      </c>
      <c r="G1000" s="63">
        <v>42874</v>
      </c>
      <c r="H1000" s="61">
        <v>0.78981666666666661</v>
      </c>
      <c r="I1000" s="55">
        <v>30</v>
      </c>
      <c r="J1000" s="56" t="s">
        <v>229</v>
      </c>
      <c r="K1000" s="75" t="s">
        <v>230</v>
      </c>
      <c r="L1000" s="70">
        <v>0</v>
      </c>
    </row>
  </sheetData>
  <sortState ref="A2:D10000">
    <sortCondition ref="A2:A99999"/>
    <sortCondition ref="B2:B99999"/>
  </sortState>
  <dataConsolidate/>
  <customSheetViews>
    <customSheetView guid="{EE01CCAA-7E28-4768-912B-924F78228F15}">
      <selection activeCell="C10" sqref="C10"/>
      <pageMargins left="0.7" right="0.7" top="0.75" bottom="0.75" header="0.3" footer="0.3"/>
    </customSheetView>
    <customSheetView guid="{2551B548-0E6D-46AF-AB49-FEFF8B12AD29}" scale="85" filter="1" showAutoFilter="1" hiddenColumns="1" topLeftCell="A1050">
      <selection activeCell="C1041" sqref="C1041"/>
      <pageMargins left="0.7" right="0.7" top="0.75" bottom="0.75" header="0.3" footer="0.3"/>
      <autoFilter ref="A2:A1126">
        <filterColumn colId="0">
          <filters blank="1">
            <filter val="Account Servicer"/>
            <filter val="Fredy"/>
          </filters>
        </filterColumn>
      </autoFilter>
    </customSheetView>
    <customSheetView guid="{1596B5E0-A920-4253-A2AC-C16039C617FF}" hiddenColumns="1">
      <selection activeCell="L17" sqref="L1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3455C088-30F3-4597-8A9D-2CF3E67B254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L1:L1048576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 fitToPage="1"/>
  </sheetPr>
  <dimension ref="B1:O38"/>
  <sheetViews>
    <sheetView showGridLines="0" tabSelected="1" zoomScale="70" zoomScaleNormal="70" zoomScaleSheetLayoutView="55" workbookViewId="0">
      <selection activeCell="T11" sqref="T11"/>
    </sheetView>
  </sheetViews>
  <sheetFormatPr defaultRowHeight="14.4"/>
  <cols>
    <col min="1" max="1" width="2.44140625" style="6" customWidth="1"/>
    <col min="2" max="2" width="6.6640625" style="22" customWidth="1"/>
    <col min="3" max="9" width="22.88671875" style="6" customWidth="1"/>
    <col min="10" max="10" width="3.33203125" style="6" customWidth="1"/>
    <col min="11" max="11" width="9.88671875" style="21" customWidth="1"/>
    <col min="12" max="12" width="23.33203125" style="8" customWidth="1"/>
    <col min="13" max="13" width="1.21875" style="6" customWidth="1"/>
    <col min="14" max="14" width="1.77734375" style="6" customWidth="1"/>
    <col min="15" max="15" width="21.5546875" style="6" customWidth="1"/>
    <col min="16" max="16" width="7.109375" style="6" customWidth="1"/>
    <col min="17" max="17" width="7.5546875" style="6" customWidth="1"/>
    <col min="18" max="18" width="8.5546875" style="6" bestFit="1" customWidth="1"/>
    <col min="19" max="24" width="7.5546875" style="6" customWidth="1"/>
    <col min="25" max="25" width="15.5546875" style="6" customWidth="1"/>
    <col min="26" max="26" width="36.44140625" style="6" customWidth="1"/>
    <col min="27" max="27" width="33.44140625" style="6" customWidth="1"/>
    <col min="28" max="28" width="29.6640625" style="6" customWidth="1"/>
    <col min="29" max="29" width="46.21875" style="6" customWidth="1"/>
    <col min="30" max="30" width="26.77734375" style="6" customWidth="1"/>
    <col min="31" max="31" width="45.88671875" style="6" customWidth="1"/>
    <col min="32" max="32" width="48.109375" style="6" customWidth="1"/>
    <col min="33" max="33" width="16.109375" style="6" customWidth="1"/>
    <col min="34" max="34" width="24.5546875" style="6" customWidth="1"/>
    <col min="35" max="35" width="23.6640625" style="6" customWidth="1"/>
    <col min="36" max="36" width="22.88671875" style="6" customWidth="1"/>
    <col min="37" max="37" width="24.109375" style="6" customWidth="1"/>
    <col min="38" max="38" width="23.109375" style="6" customWidth="1"/>
    <col min="39" max="39" width="22.33203125" style="6" customWidth="1"/>
    <col min="40" max="40" width="35.6640625" style="6" customWidth="1"/>
    <col min="41" max="41" width="45.21875" style="6" customWidth="1"/>
    <col min="42" max="42" width="29.5546875" style="6" customWidth="1"/>
    <col min="43" max="43" width="16.6640625" style="6" customWidth="1"/>
    <col min="44" max="44" width="16.33203125" style="6" customWidth="1"/>
    <col min="45" max="45" width="18.88671875" style="6" customWidth="1"/>
    <col min="46" max="46" width="15.6640625" style="6" customWidth="1"/>
    <col min="47" max="47" width="23.109375" style="6" customWidth="1"/>
    <col min="48" max="48" width="25.109375" style="6" customWidth="1"/>
    <col min="49" max="49" width="18.6640625" style="6" customWidth="1"/>
    <col min="50" max="50" width="17.44140625" style="6" customWidth="1"/>
    <col min="51" max="51" width="12.6640625" style="6" customWidth="1"/>
    <col min="52" max="52" width="29.6640625" style="6" customWidth="1"/>
    <col min="53" max="53" width="16.44140625" style="6" customWidth="1"/>
    <col min="54" max="54" width="20.21875" style="6" customWidth="1"/>
    <col min="55" max="55" width="16.21875" style="6" customWidth="1"/>
    <col min="56" max="56" width="15" style="6" customWidth="1"/>
    <col min="57" max="57" width="23.21875" style="6" customWidth="1"/>
    <col min="58" max="58" width="13.21875" style="6" customWidth="1"/>
    <col min="59" max="59" width="13.88671875" style="6" customWidth="1"/>
    <col min="60" max="60" width="25.44140625" style="6" customWidth="1"/>
    <col min="61" max="61" width="17.88671875" style="6" customWidth="1"/>
    <col min="62" max="62" width="11.77734375" style="6" customWidth="1"/>
    <col min="63" max="63" width="33.33203125" style="6" customWidth="1"/>
    <col min="64" max="64" width="12.5546875" style="6" customWidth="1"/>
    <col min="65" max="65" width="12.88671875" style="6" customWidth="1"/>
    <col min="66" max="66" width="31.109375" style="6" customWidth="1"/>
    <col min="67" max="67" width="37.109375" style="6" customWidth="1"/>
    <col min="68" max="68" width="13.6640625" style="6" customWidth="1"/>
    <col min="69" max="69" width="36.21875" style="6" customWidth="1"/>
    <col min="70" max="70" width="45.21875" style="6" customWidth="1"/>
    <col min="71" max="71" width="20.21875" style="6" customWidth="1"/>
    <col min="72" max="72" width="22.77734375" style="6" customWidth="1"/>
    <col min="73" max="73" width="20" style="6" customWidth="1"/>
    <col min="74" max="74" width="16.88671875" style="6" customWidth="1"/>
    <col min="75" max="75" width="23.33203125" style="6" customWidth="1"/>
    <col min="76" max="76" width="46.21875" style="6" customWidth="1"/>
    <col min="77" max="77" width="20.6640625" style="6" customWidth="1"/>
    <col min="78" max="78" width="10.44140625" style="6" customWidth="1"/>
    <col min="79" max="79" width="29.44140625" style="6" customWidth="1"/>
    <col min="80" max="80" width="28.33203125" style="6" customWidth="1"/>
    <col min="81" max="81" width="32.109375" style="6" customWidth="1"/>
    <col min="82" max="82" width="18" style="6" customWidth="1"/>
    <col min="83" max="83" width="21.88671875" style="6" customWidth="1"/>
    <col min="84" max="84" width="21.44140625" style="6" customWidth="1"/>
    <col min="85" max="85" width="22.77734375" style="6" customWidth="1"/>
    <col min="86" max="86" width="33.6640625" style="6" customWidth="1"/>
    <col min="87" max="87" width="22.44140625" style="6" customWidth="1"/>
    <col min="88" max="88" width="19.44140625" style="6" customWidth="1"/>
    <col min="89" max="89" width="16.21875" style="6" customWidth="1"/>
    <col min="90" max="90" width="15.77734375" style="6" customWidth="1"/>
    <col min="91" max="91" width="31.44140625" style="6" customWidth="1"/>
    <col min="92" max="92" width="24.33203125" style="6" customWidth="1"/>
    <col min="93" max="93" width="34.21875" style="6" customWidth="1"/>
    <col min="94" max="94" width="28.88671875" style="6" customWidth="1"/>
    <col min="95" max="95" width="20.6640625" style="6" customWidth="1"/>
    <col min="96" max="96" width="13.21875" style="6" customWidth="1"/>
    <col min="97" max="97" width="18.6640625" style="6" customWidth="1"/>
    <col min="98" max="98" width="16.88671875" style="6" customWidth="1"/>
    <col min="99" max="99" width="32.5546875" style="6" customWidth="1"/>
    <col min="100" max="100" width="30.21875" style="6" customWidth="1"/>
    <col min="101" max="101" width="24.77734375" style="6" customWidth="1"/>
    <col min="102" max="102" width="31.88671875" style="6" customWidth="1"/>
    <col min="103" max="103" width="33.33203125" style="6" customWidth="1"/>
    <col min="104" max="104" width="49.6640625" style="6" customWidth="1"/>
    <col min="105" max="105" width="39.44140625" style="6" customWidth="1"/>
    <col min="106" max="106" width="14.44140625" style="6" customWidth="1"/>
    <col min="107" max="107" width="11.88671875" style="6" customWidth="1"/>
    <col min="108" max="108" width="43.77734375" style="6" customWidth="1"/>
    <col min="109" max="109" width="11.109375" style="6" customWidth="1"/>
    <col min="110" max="110" width="26.21875" style="6" customWidth="1"/>
    <col min="111" max="111" width="18.33203125" style="6" customWidth="1"/>
    <col min="112" max="112" width="26" style="6" customWidth="1"/>
    <col min="113" max="113" width="31.6640625" style="6" customWidth="1"/>
    <col min="114" max="114" width="12.44140625" style="6" customWidth="1"/>
    <col min="115" max="115" width="25.33203125" style="6" customWidth="1"/>
    <col min="116" max="116" width="29.109375" style="6" customWidth="1"/>
    <col min="117" max="117" width="28.88671875" style="6" customWidth="1"/>
    <col min="118" max="118" width="35.5546875" style="6" customWidth="1"/>
    <col min="119" max="119" width="33.5546875" style="6" customWidth="1"/>
    <col min="120" max="120" width="20.5546875" style="6" customWidth="1"/>
    <col min="121" max="121" width="13.33203125" style="6" customWidth="1"/>
    <col min="122" max="122" width="16.44140625" style="6" customWidth="1"/>
    <col min="123" max="123" width="15.6640625" style="6" customWidth="1"/>
    <col min="124" max="124" width="9" style="6" customWidth="1"/>
    <col min="125" max="125" width="19.33203125" style="6" customWidth="1"/>
    <col min="126" max="126" width="16.21875" style="6" customWidth="1"/>
    <col min="127" max="127" width="31.21875" style="6" customWidth="1"/>
    <col min="128" max="128" width="22.21875" style="6" customWidth="1"/>
    <col min="129" max="129" width="38.33203125" style="6" customWidth="1"/>
    <col min="130" max="130" width="28.88671875" style="6" customWidth="1"/>
    <col min="131" max="131" width="43.88671875" style="6" customWidth="1"/>
    <col min="132" max="132" width="39.88671875" style="6" customWidth="1"/>
    <col min="133" max="133" width="10.21875" style="6" customWidth="1"/>
    <col min="134" max="134" width="30" style="6" customWidth="1"/>
    <col min="135" max="135" width="20.21875" style="6" customWidth="1"/>
    <col min="136" max="136" width="41.6640625" style="6" customWidth="1"/>
    <col min="137" max="137" width="20.6640625" style="6" customWidth="1"/>
    <col min="138" max="138" width="24" style="6" customWidth="1"/>
    <col min="139" max="139" width="19.33203125" style="6" customWidth="1"/>
    <col min="140" max="140" width="8.21875" style="6" customWidth="1"/>
    <col min="141" max="141" width="34.33203125" style="6" customWidth="1"/>
    <col min="142" max="142" width="20.5546875" style="6" customWidth="1"/>
    <col min="143" max="143" width="15.21875" style="6" customWidth="1"/>
    <col min="144" max="144" width="23.5546875" style="6" customWidth="1"/>
    <col min="145" max="145" width="14.21875" style="6" customWidth="1"/>
    <col min="146" max="146" width="27.44140625" style="6" customWidth="1"/>
    <col min="147" max="147" width="23.33203125" style="6" customWidth="1"/>
    <col min="148" max="148" width="28.33203125" style="6" customWidth="1"/>
    <col min="149" max="149" width="20.77734375" style="6" customWidth="1"/>
    <col min="150" max="150" width="29.109375" style="6" customWidth="1"/>
    <col min="151" max="151" width="29.5546875" style="6" customWidth="1"/>
    <col min="152" max="152" width="19.33203125" style="6" customWidth="1"/>
    <col min="153" max="153" width="35.77734375" style="6" customWidth="1"/>
    <col min="154" max="154" width="14.44140625" style="6" customWidth="1"/>
    <col min="155" max="155" width="24" style="6" customWidth="1"/>
    <col min="156" max="156" width="19.5546875" style="6" customWidth="1"/>
    <col min="157" max="157" width="21.33203125" style="6" customWidth="1"/>
    <col min="158" max="158" width="47.6640625" style="6" customWidth="1"/>
    <col min="159" max="159" width="23.88671875" style="6" customWidth="1"/>
    <col min="160" max="160" width="29.109375" style="6" customWidth="1"/>
    <col min="161" max="161" width="58.88671875" style="6" customWidth="1"/>
    <col min="162" max="162" width="31.6640625" style="6" customWidth="1"/>
    <col min="163" max="163" width="25" style="6" customWidth="1"/>
    <col min="164" max="164" width="44" style="6" customWidth="1"/>
    <col min="165" max="165" width="16.33203125" style="6" customWidth="1"/>
    <col min="166" max="166" width="29.5546875" style="6" customWidth="1"/>
    <col min="167" max="167" width="44.6640625" style="6" customWidth="1"/>
    <col min="168" max="168" width="32.88671875" style="6" customWidth="1"/>
    <col min="169" max="169" width="29.6640625" style="6" customWidth="1"/>
    <col min="170" max="170" width="36.33203125" style="6" customWidth="1"/>
    <col min="171" max="171" width="25" style="6" customWidth="1"/>
    <col min="172" max="172" width="36.6640625" style="6" customWidth="1"/>
    <col min="173" max="173" width="25" style="6" customWidth="1"/>
    <col min="174" max="174" width="36.5546875" style="6" customWidth="1"/>
    <col min="175" max="175" width="36.109375" style="6" customWidth="1"/>
    <col min="176" max="176" width="32" style="6" customWidth="1"/>
    <col min="177" max="177" width="12.6640625" style="6" customWidth="1"/>
    <col min="178" max="178" width="38.33203125" style="6" customWidth="1"/>
    <col min="179" max="179" width="23.77734375" style="6" customWidth="1"/>
    <col min="180" max="180" width="19.33203125" style="6" customWidth="1"/>
    <col min="181" max="181" width="12.5546875" style="6" customWidth="1"/>
    <col min="182" max="182" width="12.88671875" style="6" customWidth="1"/>
    <col min="183" max="183" width="14.44140625" style="6" customWidth="1"/>
    <col min="184" max="184" width="22.21875" style="6" customWidth="1"/>
    <col min="185" max="185" width="22.88671875" style="6" customWidth="1"/>
    <col min="186" max="186" width="11.88671875" style="6" customWidth="1"/>
    <col min="187" max="187" width="31" style="6" customWidth="1"/>
    <col min="188" max="188" width="14.77734375" style="6" customWidth="1"/>
    <col min="189" max="189" width="18.77734375" style="6" customWidth="1"/>
    <col min="190" max="190" width="31.6640625" style="6" customWidth="1"/>
    <col min="191" max="191" width="56.88671875" style="6" customWidth="1"/>
    <col min="192" max="192" width="7.77734375" style="6" customWidth="1"/>
    <col min="193" max="193" width="29" style="6" customWidth="1"/>
    <col min="194" max="194" width="28.5546875" style="6" customWidth="1"/>
    <col min="195" max="195" width="26.5546875" style="6" customWidth="1"/>
    <col min="196" max="196" width="18.6640625" style="6" customWidth="1"/>
    <col min="197" max="197" width="28.5546875" style="6" customWidth="1"/>
    <col min="198" max="198" width="30.33203125" style="6" customWidth="1"/>
    <col min="199" max="199" width="32.21875" style="6" customWidth="1"/>
    <col min="200" max="200" width="22.44140625" style="6" customWidth="1"/>
    <col min="201" max="201" width="29.109375" style="6" customWidth="1"/>
    <col min="202" max="202" width="28.5546875" style="6" customWidth="1"/>
    <col min="203" max="203" width="28.88671875" style="6" customWidth="1"/>
    <col min="204" max="205" width="32.88671875" style="6" customWidth="1"/>
    <col min="206" max="206" width="19.44140625" style="6" customWidth="1"/>
    <col min="207" max="207" width="35.5546875" style="6" customWidth="1"/>
    <col min="208" max="208" width="33.5546875" style="6" customWidth="1"/>
    <col min="209" max="209" width="23.109375" style="6" customWidth="1"/>
    <col min="210" max="210" width="34.33203125" style="6" customWidth="1"/>
    <col min="211" max="211" width="30.5546875" style="6" customWidth="1"/>
    <col min="212" max="212" width="29.6640625" style="6" customWidth="1"/>
    <col min="213" max="213" width="39.6640625" style="6" customWidth="1"/>
    <col min="214" max="214" width="38.88671875" style="6" customWidth="1"/>
    <col min="215" max="215" width="12.88671875" style="6" customWidth="1"/>
    <col min="216" max="216" width="25.5546875" style="6" customWidth="1"/>
    <col min="217" max="217" width="17" style="6" customWidth="1"/>
    <col min="218" max="218" width="34.33203125" style="6" customWidth="1"/>
    <col min="219" max="219" width="17.44140625" style="6" customWidth="1"/>
    <col min="220" max="220" width="21.44140625" style="6" customWidth="1"/>
    <col min="221" max="221" width="15.109375" style="6" customWidth="1"/>
    <col min="222" max="222" width="29" style="6" customWidth="1"/>
    <col min="223" max="223" width="47.6640625" style="6" customWidth="1"/>
    <col min="224" max="224" width="23.33203125" style="6" customWidth="1"/>
    <col min="225" max="225" width="22.77734375" style="6" customWidth="1"/>
    <col min="226" max="226" width="25.5546875" style="6" customWidth="1"/>
    <col min="227" max="227" width="12.109375" style="6" customWidth="1"/>
    <col min="228" max="228" width="12" style="6" customWidth="1"/>
    <col min="229" max="229" width="17.109375" style="6" customWidth="1"/>
    <col min="230" max="230" width="18.33203125" style="6" customWidth="1"/>
    <col min="231" max="231" width="19.33203125" style="6" customWidth="1"/>
    <col min="232" max="232" width="26.6640625" style="6" customWidth="1"/>
    <col min="233" max="233" width="22.88671875" style="6" customWidth="1"/>
    <col min="234" max="234" width="34.109375" style="6" customWidth="1"/>
    <col min="235" max="235" width="31.44140625" style="6" customWidth="1"/>
    <col min="236" max="236" width="20.6640625" style="6" customWidth="1"/>
    <col min="237" max="237" width="7.21875" style="6" customWidth="1"/>
    <col min="238" max="238" width="11.44140625" style="6" customWidth="1"/>
    <col min="239" max="239" width="28.33203125" style="6" customWidth="1"/>
    <col min="240" max="241" width="29.109375" style="6" customWidth="1"/>
    <col min="242" max="242" width="58.88671875" style="6" customWidth="1"/>
    <col min="243" max="243" width="31.6640625" style="6" customWidth="1"/>
    <col min="244" max="245" width="25" style="6" customWidth="1"/>
    <col min="246" max="246" width="36.5546875" style="6" customWidth="1"/>
    <col min="247" max="247" width="32" style="6" customWidth="1"/>
    <col min="248" max="248" width="12.6640625" style="6" customWidth="1"/>
    <col min="249" max="249" width="12.5546875" style="6" customWidth="1"/>
    <col min="250" max="250" width="12.88671875" style="6" customWidth="1"/>
    <col min="251" max="251" width="29" style="6" customWidth="1"/>
    <col min="252" max="252" width="28.5546875" style="6" customWidth="1"/>
    <col min="253" max="253" width="26.5546875" style="6" customWidth="1"/>
    <col min="254" max="254" width="22.44140625" style="6" customWidth="1"/>
    <col min="255" max="255" width="35.5546875" style="6" customWidth="1"/>
    <col min="256" max="256" width="33.5546875" style="6" customWidth="1"/>
    <col min="257" max="257" width="23.109375" style="6" customWidth="1"/>
    <col min="258" max="258" width="34.33203125" style="6" customWidth="1"/>
    <col min="259" max="259" width="30.5546875" style="6" customWidth="1"/>
    <col min="260" max="260" width="12.88671875" style="6" customWidth="1"/>
    <col min="261" max="261" width="17" style="6" customWidth="1"/>
    <col min="262" max="262" width="17.44140625" style="6" customWidth="1"/>
    <col min="263" max="263" width="29" style="6" customWidth="1"/>
    <col min="264" max="264" width="47.6640625" style="6" customWidth="1"/>
    <col min="265" max="265" width="22.77734375" style="6" customWidth="1"/>
    <col min="266" max="266" width="26.6640625" style="6" customWidth="1"/>
    <col min="267" max="267" width="22.88671875" style="6" customWidth="1"/>
    <col min="268" max="268" width="31.44140625" style="6" customWidth="1"/>
    <col min="269" max="269" width="7.21875" style="6" customWidth="1"/>
    <col min="270" max="270" width="12.21875" style="6" customWidth="1"/>
    <col min="271" max="271" width="11.44140625" style="6" customWidth="1"/>
    <col min="272" max="272" width="26.77734375" style="6" customWidth="1"/>
    <col min="273" max="273" width="30.33203125" style="6" customWidth="1"/>
    <col min="274" max="274" width="20.33203125" style="6" customWidth="1"/>
    <col min="275" max="275" width="23.88671875" style="6" customWidth="1"/>
    <col min="276" max="276" width="19.109375" style="6" customWidth="1"/>
    <col min="277" max="277" width="22.88671875" style="6" customWidth="1"/>
    <col min="278" max="278" width="14.33203125" style="6" customWidth="1"/>
    <col min="279" max="279" width="18" style="6" customWidth="1"/>
    <col min="280" max="280" width="31.33203125" style="6" customWidth="1"/>
    <col min="281" max="281" width="34.88671875" style="6" customWidth="1"/>
    <col min="282" max="282" width="18.109375" style="6" customWidth="1"/>
    <col min="283" max="283" width="21.6640625" style="6" customWidth="1"/>
    <col min="284" max="284" width="21.88671875" style="6" customWidth="1"/>
    <col min="285" max="285" width="25.44140625" style="6" customWidth="1"/>
    <col min="286" max="286" width="17.88671875" style="6" customWidth="1"/>
    <col min="287" max="287" width="21.44140625" style="6" customWidth="1"/>
    <col min="288" max="288" width="16.6640625" style="6" customWidth="1"/>
    <col min="289" max="289" width="20.21875" style="6" customWidth="1"/>
    <col min="290" max="290" width="24.88671875" style="6" customWidth="1"/>
    <col min="291" max="291" width="28.44140625" style="6" customWidth="1"/>
    <col min="292" max="292" width="14.88671875" style="6" customWidth="1"/>
    <col min="293" max="293" width="9" style="6" customWidth="1"/>
    <col min="294" max="294" width="18.5546875" style="6" customWidth="1"/>
    <col min="295" max="295" width="15.5546875" style="6" customWidth="1"/>
    <col min="296" max="296" width="19.109375" style="6" bestFit="1" customWidth="1"/>
    <col min="297" max="297" width="27.109375" style="6" bestFit="1" customWidth="1"/>
    <col min="298" max="298" width="30.77734375" style="6" bestFit="1" customWidth="1"/>
    <col min="299" max="299" width="19.5546875" style="6" customWidth="1"/>
    <col min="300" max="300" width="23.109375" style="6" bestFit="1" customWidth="1"/>
    <col min="301" max="301" width="13.44140625" style="6" customWidth="1"/>
    <col min="302" max="302" width="11.109375" style="6" customWidth="1"/>
    <col min="303" max="303" width="17" style="6" bestFit="1" customWidth="1"/>
    <col min="304" max="304" width="35" style="6" customWidth="1"/>
    <col min="305" max="305" width="9" style="6" customWidth="1"/>
    <col min="306" max="306" width="38.5546875" style="6" customWidth="1"/>
    <col min="307" max="307" width="14.21875" style="6" customWidth="1"/>
    <col min="308" max="308" width="17.88671875" style="6" customWidth="1"/>
    <col min="309" max="309" width="14.5546875" style="6" customWidth="1"/>
    <col min="310" max="310" width="18.33203125" style="6" customWidth="1"/>
    <col min="311" max="311" width="32.77734375" style="6" bestFit="1" customWidth="1"/>
    <col min="312" max="312" width="36.33203125" style="6" bestFit="1" customWidth="1"/>
    <col min="313" max="313" width="38.77734375" style="6" bestFit="1" customWidth="1"/>
    <col min="314" max="314" width="42.33203125" style="6" bestFit="1" customWidth="1"/>
    <col min="315" max="315" width="15.33203125" style="6" customWidth="1"/>
    <col min="316" max="316" width="18.88671875" style="6" customWidth="1"/>
    <col min="317" max="317" width="37.88671875" style="6" bestFit="1" customWidth="1"/>
    <col min="318" max="318" width="41.44140625" style="6" bestFit="1" customWidth="1"/>
    <col min="319" max="319" width="46.88671875" style="6" bestFit="1" customWidth="1"/>
    <col min="320" max="320" width="50.44140625" style="6" bestFit="1" customWidth="1"/>
    <col min="321" max="321" width="21.88671875" style="6" customWidth="1"/>
    <col min="322" max="322" width="10" style="6" customWidth="1"/>
    <col min="323" max="323" width="25.44140625" style="6" customWidth="1"/>
    <col min="324" max="324" width="24.44140625" style="6" customWidth="1"/>
    <col min="325" max="325" width="28" style="6" customWidth="1"/>
    <col min="326" max="326" width="21.6640625" style="6" customWidth="1"/>
    <col min="327" max="327" width="25.21875" style="6" customWidth="1"/>
    <col min="328" max="328" width="18.5546875" style="6" customWidth="1"/>
    <col min="329" max="329" width="22.21875" style="6" customWidth="1"/>
    <col min="330" max="330" width="25" style="6" customWidth="1"/>
    <col min="331" max="331" width="28.5546875" style="6" customWidth="1"/>
    <col min="332" max="332" width="47.88671875" style="6" bestFit="1" customWidth="1"/>
    <col min="333" max="333" width="51.44140625" style="6" bestFit="1" customWidth="1"/>
    <col min="334" max="334" width="22.33203125" style="6" bestFit="1" customWidth="1"/>
    <col min="335" max="335" width="25.88671875" style="6" bestFit="1" customWidth="1"/>
    <col min="336" max="336" width="12.109375" style="6" customWidth="1"/>
    <col min="337" max="337" width="15.6640625" style="6" customWidth="1"/>
    <col min="338" max="338" width="31.109375" style="6" bestFit="1" customWidth="1"/>
    <col min="339" max="339" width="34.6640625" style="6" bestFit="1" customWidth="1"/>
    <col min="340" max="340" width="30" style="6" bestFit="1" customWidth="1"/>
    <col min="341" max="341" width="33.5546875" style="6" bestFit="1" customWidth="1"/>
    <col min="342" max="342" width="33.77734375" style="6" bestFit="1" customWidth="1"/>
    <col min="343" max="343" width="37.33203125" style="6" bestFit="1" customWidth="1"/>
    <col min="344" max="344" width="19.6640625" style="6" customWidth="1"/>
    <col min="345" max="345" width="23.21875" style="6" customWidth="1"/>
    <col min="346" max="346" width="23.5546875" style="6" bestFit="1" customWidth="1"/>
    <col min="347" max="347" width="27.33203125" style="6" bestFit="1" customWidth="1"/>
    <col min="348" max="348" width="23.109375" style="6" customWidth="1"/>
    <col min="349" max="349" width="26.77734375" style="6" customWidth="1"/>
    <col min="350" max="350" width="24.44140625" style="6" customWidth="1"/>
    <col min="351" max="351" width="28" style="6" customWidth="1"/>
    <col min="352" max="352" width="35.33203125" style="6" bestFit="1" customWidth="1"/>
    <col min="353" max="353" width="38.88671875" style="6" bestFit="1" customWidth="1"/>
    <col min="354" max="354" width="24.109375" style="6" customWidth="1"/>
    <col min="355" max="355" width="27.6640625" style="6" customWidth="1"/>
    <col min="356" max="356" width="21.109375" style="6" customWidth="1"/>
    <col min="357" max="357" width="24.6640625" style="6" customWidth="1"/>
    <col min="358" max="358" width="17.88671875" style="6" customWidth="1"/>
    <col min="359" max="359" width="10" style="6" customWidth="1"/>
    <col min="360" max="360" width="21.44140625" style="6" bestFit="1" customWidth="1"/>
    <col min="361" max="361" width="17.44140625" style="6" customWidth="1"/>
    <col min="362" max="362" width="21" style="6" bestFit="1" customWidth="1"/>
    <col min="363" max="363" width="33.109375" style="6" bestFit="1" customWidth="1"/>
    <col min="364" max="364" width="36.6640625" style="6" bestFit="1" customWidth="1"/>
    <col min="365" max="365" width="26" style="6" customWidth="1"/>
    <col min="366" max="366" width="29.5546875" style="6" bestFit="1" customWidth="1"/>
    <col min="367" max="367" width="35.88671875" style="6" bestFit="1" customWidth="1"/>
    <col min="368" max="368" width="39.5546875" style="6" bestFit="1" customWidth="1"/>
    <col min="369" max="369" width="30.5546875" style="6" bestFit="1" customWidth="1"/>
    <col min="370" max="370" width="34.109375" style="6" bestFit="1" customWidth="1"/>
    <col min="371" max="371" width="22.33203125" style="6" customWidth="1"/>
    <col min="372" max="372" width="25.88671875" style="6" bestFit="1" customWidth="1"/>
    <col min="373" max="373" width="14.88671875" style="6" bestFit="1" customWidth="1"/>
    <col min="374" max="374" width="18.5546875" style="6" bestFit="1" customWidth="1"/>
    <col min="375" max="375" width="20.33203125" style="6" bestFit="1" customWidth="1"/>
    <col min="376" max="376" width="23.88671875" style="6" bestFit="1" customWidth="1"/>
    <col min="377" max="377" width="18.5546875" style="6" customWidth="1"/>
    <col min="378" max="378" width="22.21875" style="6" customWidth="1"/>
    <col min="379" max="379" width="34.21875" style="6" customWidth="1"/>
    <col min="380" max="380" width="37.77734375" style="6" customWidth="1"/>
    <col min="381" max="381" width="31.88671875" style="6" bestFit="1" customWidth="1"/>
    <col min="382" max="382" width="35.5546875" style="6" bestFit="1" customWidth="1"/>
    <col min="383" max="383" width="26.44140625" style="6" bestFit="1" customWidth="1"/>
    <col min="384" max="384" width="30" style="6" bestFit="1" customWidth="1"/>
    <col min="385" max="385" width="33.5546875" style="6" bestFit="1" customWidth="1"/>
    <col min="386" max="386" width="37.109375" style="6" bestFit="1" customWidth="1"/>
    <col min="387" max="387" width="35" style="6" bestFit="1" customWidth="1"/>
    <col min="388" max="388" width="38.5546875" style="6" bestFit="1" customWidth="1"/>
    <col min="389" max="389" width="51.33203125" style="6" bestFit="1" customWidth="1"/>
    <col min="390" max="390" width="54.88671875" style="6" bestFit="1" customWidth="1"/>
    <col min="391" max="391" width="41.109375" style="6" bestFit="1" customWidth="1"/>
    <col min="392" max="392" width="9" style="6" customWidth="1"/>
    <col min="393" max="393" width="44.6640625" style="6" bestFit="1" customWidth="1"/>
    <col min="394" max="394" width="16.109375" style="6" customWidth="1"/>
    <col min="395" max="395" width="10" style="6" customWidth="1"/>
    <col min="396" max="396" width="19.6640625" style="6" customWidth="1"/>
    <col min="397" max="397" width="13.5546875" style="6" customWidth="1"/>
    <col min="398" max="398" width="17.109375" style="6" customWidth="1"/>
    <col min="399" max="399" width="45.44140625" style="6" bestFit="1" customWidth="1"/>
    <col min="400" max="400" width="10" style="6" customWidth="1"/>
    <col min="401" max="401" width="49" style="6" bestFit="1" customWidth="1"/>
    <col min="402" max="402" width="12.77734375" style="6" customWidth="1"/>
    <col min="403" max="403" width="16.33203125" style="6" customWidth="1"/>
    <col min="404" max="404" width="27.88671875" style="6" bestFit="1" customWidth="1"/>
    <col min="405" max="405" width="11.109375" style="6" customWidth="1"/>
    <col min="406" max="406" width="10" style="6" customWidth="1"/>
    <col min="407" max="407" width="31.6640625" style="6" bestFit="1" customWidth="1"/>
    <col min="408" max="408" width="20" style="6" customWidth="1"/>
    <col min="409" max="409" width="23.5546875" style="6" customWidth="1"/>
    <col min="410" max="410" width="27.6640625" style="6" customWidth="1"/>
    <col min="411" max="411" width="31.33203125" style="6" customWidth="1"/>
    <col min="412" max="412" width="33.33203125" style="6" bestFit="1" customWidth="1"/>
    <col min="413" max="413" width="36.88671875" style="6" bestFit="1" customWidth="1"/>
    <col min="414" max="414" width="14.109375" style="6" customWidth="1"/>
    <col min="415" max="415" width="17.6640625" style="6" customWidth="1"/>
    <col min="416" max="416" width="27" style="6" customWidth="1"/>
    <col min="417" max="417" width="11.109375" style="6" customWidth="1"/>
    <col min="418" max="418" width="30.5546875" style="6" bestFit="1" customWidth="1"/>
    <col min="419" max="419" width="30.77734375" style="6" customWidth="1"/>
    <col min="420" max="420" width="34.33203125" style="6" customWidth="1"/>
    <col min="421" max="421" width="30.5546875" style="6" bestFit="1" customWidth="1"/>
    <col min="422" max="422" width="34.109375" style="6" bestFit="1" customWidth="1"/>
    <col min="423" max="423" width="37.21875" style="6" bestFit="1" customWidth="1"/>
    <col min="424" max="424" width="40.77734375" style="6" bestFit="1" customWidth="1"/>
    <col min="425" max="425" width="35.21875" style="6" bestFit="1" customWidth="1"/>
    <col min="426" max="426" width="38.77734375" style="6" bestFit="1" customWidth="1"/>
    <col min="427" max="427" width="22.21875" style="6" bestFit="1" customWidth="1"/>
    <col min="428" max="428" width="25.77734375" style="6" bestFit="1" customWidth="1"/>
    <col min="429" max="429" width="15" style="6" customWidth="1"/>
    <col min="430" max="430" width="18.6640625" style="6" customWidth="1"/>
    <col min="431" max="431" width="18.109375" style="6" bestFit="1" customWidth="1"/>
    <col min="432" max="432" width="21.6640625" style="6" bestFit="1" customWidth="1"/>
    <col min="433" max="433" width="17.33203125" style="6" customWidth="1"/>
    <col min="434" max="434" width="20.88671875" style="6" customWidth="1"/>
    <col min="435" max="435" width="11.109375" style="6" customWidth="1"/>
    <col min="436" max="436" width="14.21875" style="6" customWidth="1"/>
    <col min="437" max="437" width="21" style="6" customWidth="1"/>
    <col min="438" max="438" width="24.5546875" style="6" customWidth="1"/>
    <col min="439" max="439" width="17.88671875" style="6" customWidth="1"/>
    <col min="440" max="440" width="21.44140625" style="6" customWidth="1"/>
    <col min="441" max="441" width="32.88671875" style="6" bestFit="1" customWidth="1"/>
    <col min="442" max="442" width="36.44140625" style="6" bestFit="1" customWidth="1"/>
    <col min="443" max="443" width="23.88671875" style="6" bestFit="1" customWidth="1"/>
    <col min="444" max="444" width="27.44140625" style="6" bestFit="1" customWidth="1"/>
    <col min="445" max="445" width="40" style="6" customWidth="1"/>
    <col min="446" max="446" width="43.5546875" style="6" customWidth="1"/>
    <col min="447" max="447" width="30.5546875" style="6" bestFit="1" customWidth="1"/>
    <col min="448" max="448" width="34.109375" style="6" bestFit="1" customWidth="1"/>
    <col min="449" max="449" width="45.5546875" style="6" bestFit="1" customWidth="1"/>
    <col min="450" max="450" width="49.109375" style="6" bestFit="1" customWidth="1"/>
    <col min="451" max="451" width="41.5546875" style="6" bestFit="1" customWidth="1"/>
    <col min="452" max="452" width="45.109375" style="6" bestFit="1" customWidth="1"/>
    <col min="453" max="453" width="11.88671875" style="6" customWidth="1"/>
    <col min="454" max="454" width="15.44140625" style="6" customWidth="1"/>
    <col min="455" max="455" width="31.6640625" style="6" customWidth="1"/>
    <col min="456" max="456" width="35.44140625" style="6" bestFit="1" customWidth="1"/>
    <col min="457" max="457" width="21.88671875" style="6" customWidth="1"/>
    <col min="458" max="458" width="25.44140625" style="6" customWidth="1"/>
    <col min="459" max="459" width="43.33203125" style="6" bestFit="1" customWidth="1"/>
    <col min="460" max="460" width="46.88671875" style="6" bestFit="1" customWidth="1"/>
    <col min="461" max="461" width="22.33203125" style="6" customWidth="1"/>
    <col min="462" max="462" width="25.88671875" style="6" customWidth="1"/>
    <col min="463" max="463" width="25.6640625" style="6" customWidth="1"/>
    <col min="464" max="464" width="29.21875" style="6" customWidth="1"/>
    <col min="465" max="465" width="21" style="6" customWidth="1"/>
    <col min="466" max="466" width="24.5546875" style="6" customWidth="1"/>
    <col min="467" max="467" width="11.109375" style="6" customWidth="1"/>
    <col min="468" max="468" width="13.33203125" style="6" customWidth="1"/>
    <col min="469" max="469" width="36" style="6" bestFit="1" customWidth="1"/>
    <col min="470" max="470" width="39.6640625" style="6" bestFit="1" customWidth="1"/>
    <col min="471" max="471" width="22.21875" style="6" bestFit="1" customWidth="1"/>
    <col min="472" max="472" width="25.77734375" style="6" bestFit="1" customWidth="1"/>
    <col min="473" max="473" width="16.88671875" style="6" customWidth="1"/>
    <col min="474" max="474" width="20.5546875" style="6" bestFit="1" customWidth="1"/>
    <col min="475" max="475" width="25.21875" style="6" bestFit="1" customWidth="1"/>
    <col min="476" max="476" width="28.77734375" style="6" customWidth="1"/>
    <col min="477" max="477" width="15.88671875" style="6" customWidth="1"/>
    <col min="478" max="478" width="10" style="6" customWidth="1"/>
    <col min="479" max="479" width="19.44140625" style="6" customWidth="1"/>
    <col min="480" max="480" width="29.109375" style="6" bestFit="1" customWidth="1"/>
    <col min="481" max="481" width="32.6640625" style="6" bestFit="1" customWidth="1"/>
    <col min="482" max="482" width="25" style="6" bestFit="1" customWidth="1"/>
    <col min="483" max="483" width="28.5546875" style="6" bestFit="1" customWidth="1"/>
    <col min="484" max="484" width="30" style="6" customWidth="1"/>
    <col min="485" max="485" width="10" style="6" customWidth="1"/>
    <col min="486" max="486" width="33.5546875" style="6" bestFit="1" customWidth="1"/>
    <col min="487" max="487" width="22.44140625" style="6" customWidth="1"/>
    <col min="488" max="488" width="26" style="6" customWidth="1"/>
    <col min="489" max="489" width="30.77734375" style="6" bestFit="1" customWidth="1"/>
    <col min="490" max="490" width="34.33203125" style="6" bestFit="1" customWidth="1"/>
    <col min="491" max="491" width="31.21875" style="6" bestFit="1" customWidth="1"/>
    <col min="492" max="492" width="34.77734375" style="6" bestFit="1" customWidth="1"/>
    <col min="493" max="493" width="21" style="6" customWidth="1"/>
    <col min="494" max="494" width="24.5546875" style="6" customWidth="1"/>
    <col min="495" max="495" width="37.44140625" style="6" bestFit="1" customWidth="1"/>
    <col min="496" max="496" width="41" style="6" bestFit="1" customWidth="1"/>
    <col min="497" max="497" width="16.109375" style="6" customWidth="1"/>
    <col min="498" max="498" width="19.6640625" style="6" customWidth="1"/>
    <col min="499" max="499" width="25.6640625" style="6" customWidth="1"/>
    <col min="500" max="500" width="10" style="6" customWidth="1"/>
    <col min="501" max="501" width="29.21875" style="6" customWidth="1"/>
    <col min="502" max="502" width="21.21875" style="6" customWidth="1"/>
    <col min="503" max="503" width="24.77734375" style="6" customWidth="1"/>
    <col min="504" max="504" width="23" style="6" customWidth="1"/>
    <col min="505" max="505" width="26.6640625" style="6" bestFit="1" customWidth="1"/>
    <col min="506" max="506" width="49.33203125" style="6" bestFit="1" customWidth="1"/>
    <col min="507" max="507" width="53" style="6" bestFit="1" customWidth="1"/>
    <col min="508" max="508" width="25.5546875" style="6" bestFit="1" customWidth="1"/>
    <col min="509" max="509" width="11.109375" style="6" customWidth="1"/>
    <col min="510" max="510" width="29.109375" style="6" bestFit="1" customWidth="1"/>
    <col min="511" max="511" width="30.77734375" style="6" bestFit="1" customWidth="1"/>
    <col min="512" max="512" width="34.33203125" style="6" bestFit="1" customWidth="1"/>
    <col min="513" max="513" width="60.5546875" style="6" bestFit="1" customWidth="1"/>
    <col min="514" max="514" width="64.109375" style="6" bestFit="1" customWidth="1"/>
    <col min="515" max="515" width="33.33203125" style="6" customWidth="1"/>
    <col min="516" max="516" width="10" style="6" customWidth="1"/>
    <col min="517" max="517" width="9" style="6" customWidth="1"/>
    <col min="518" max="518" width="36.88671875" style="6" bestFit="1" customWidth="1"/>
    <col min="519" max="519" width="26.6640625" style="6" bestFit="1" customWidth="1"/>
    <col min="520" max="520" width="30.21875" style="6" bestFit="1" customWidth="1"/>
    <col min="521" max="521" width="45.6640625" style="6" bestFit="1" customWidth="1"/>
    <col min="522" max="522" width="9" style="6" customWidth="1"/>
    <col min="523" max="523" width="49.21875" style="6" bestFit="1" customWidth="1"/>
    <col min="524" max="524" width="18" style="6" customWidth="1"/>
    <col min="525" max="525" width="21.5546875" style="6" customWidth="1"/>
    <col min="526" max="526" width="31.21875" style="6" customWidth="1"/>
    <col min="527" max="527" width="34.77734375" style="6" bestFit="1" customWidth="1"/>
    <col min="528" max="528" width="46.33203125" style="6" bestFit="1" customWidth="1"/>
    <col min="529" max="529" width="49.88671875" style="6" bestFit="1" customWidth="1"/>
    <col min="530" max="530" width="34.5546875" style="6" bestFit="1" customWidth="1"/>
    <col min="531" max="531" width="38.109375" style="6" bestFit="1" customWidth="1"/>
    <col min="532" max="532" width="31.33203125" style="6" bestFit="1" customWidth="1"/>
    <col min="533" max="533" width="34.88671875" style="6" bestFit="1" customWidth="1"/>
    <col min="534" max="534" width="38" style="6" bestFit="1" customWidth="1"/>
    <col min="535" max="535" width="41.5546875" style="6" bestFit="1" customWidth="1"/>
    <col min="536" max="536" width="26.6640625" style="6" customWidth="1"/>
    <col min="537" max="537" width="30.21875" style="6" customWidth="1"/>
    <col min="538" max="538" width="38.33203125" style="6" customWidth="1"/>
    <col min="539" max="539" width="41.88671875" style="6" bestFit="1" customWidth="1"/>
    <col min="540" max="540" width="26.6640625" style="6" bestFit="1" customWidth="1"/>
    <col min="541" max="541" width="30.21875" style="6" bestFit="1" customWidth="1"/>
    <col min="542" max="542" width="38.21875" style="6" bestFit="1" customWidth="1"/>
    <col min="543" max="543" width="41.77734375" style="6" bestFit="1" customWidth="1"/>
    <col min="544" max="544" width="37.77734375" style="6" bestFit="1" customWidth="1"/>
    <col min="545" max="545" width="41.33203125" style="6" bestFit="1" customWidth="1"/>
    <col min="546" max="546" width="33.6640625" style="6" bestFit="1" customWidth="1"/>
    <col min="547" max="547" width="10" style="6" customWidth="1"/>
    <col min="548" max="548" width="37.21875" style="6" bestFit="1" customWidth="1"/>
    <col min="549" max="549" width="14.33203125" style="6" customWidth="1"/>
    <col min="550" max="550" width="18" style="6" customWidth="1"/>
    <col min="551" max="551" width="40" style="6" bestFit="1" customWidth="1"/>
    <col min="552" max="552" width="43.5546875" style="6" bestFit="1" customWidth="1"/>
    <col min="553" max="553" width="25.44140625" style="6" bestFit="1" customWidth="1"/>
    <col min="554" max="554" width="29" style="6" bestFit="1" customWidth="1"/>
    <col min="555" max="555" width="21" style="6" customWidth="1"/>
    <col min="556" max="556" width="24.5546875" style="6" customWidth="1"/>
    <col min="557" max="557" width="14.21875" style="6" customWidth="1"/>
    <col min="558" max="558" width="17.88671875" style="6" customWidth="1"/>
    <col min="559" max="559" width="14.5546875" style="6" customWidth="1"/>
    <col min="560" max="560" width="18.33203125" style="6" customWidth="1"/>
    <col min="561" max="561" width="16.109375" style="6" customWidth="1"/>
    <col min="562" max="562" width="19.6640625" style="6" customWidth="1"/>
    <col min="563" max="563" width="23.88671875" style="6" bestFit="1" customWidth="1"/>
    <col min="564" max="564" width="27.44140625" style="6" bestFit="1" customWidth="1"/>
    <col min="565" max="565" width="24.5546875" style="6" bestFit="1" customWidth="1"/>
    <col min="566" max="566" width="28.109375" style="6" bestFit="1" customWidth="1"/>
    <col min="567" max="567" width="13.5546875" style="6" customWidth="1"/>
    <col min="568" max="568" width="17.109375" style="6" customWidth="1"/>
    <col min="569" max="569" width="32.6640625" style="6" bestFit="1" customWidth="1"/>
    <col min="570" max="570" width="36.21875" style="6" bestFit="1" customWidth="1"/>
    <col min="571" max="571" width="16.44140625" style="6" customWidth="1"/>
    <col min="572" max="572" width="20" style="6" customWidth="1"/>
    <col min="573" max="573" width="20.44140625" style="6" customWidth="1"/>
    <col min="574" max="574" width="24" style="6" customWidth="1"/>
    <col min="575" max="575" width="33.33203125" style="6" customWidth="1"/>
    <col min="576" max="576" width="36.88671875" style="6" customWidth="1"/>
    <col min="577" max="577" width="58.5546875" style="6" bestFit="1" customWidth="1"/>
    <col min="578" max="578" width="62.109375" style="6" bestFit="1" customWidth="1"/>
    <col min="579" max="579" width="11.109375" style="6" customWidth="1"/>
    <col min="580" max="580" width="12.88671875" style="6" customWidth="1"/>
    <col min="581" max="581" width="30.6640625" style="6" bestFit="1" customWidth="1"/>
    <col min="582" max="582" width="34.21875" style="6" bestFit="1" customWidth="1"/>
    <col min="583" max="583" width="30.21875" style="6" bestFit="1" customWidth="1"/>
    <col min="584" max="584" width="33.88671875" style="6" bestFit="1" customWidth="1"/>
    <col min="585" max="585" width="28.21875" style="6" bestFit="1" customWidth="1"/>
    <col min="586" max="586" width="10" style="6" customWidth="1"/>
    <col min="587" max="587" width="31.77734375" style="6" bestFit="1" customWidth="1"/>
    <col min="588" max="588" width="20.33203125" style="6" bestFit="1" customWidth="1"/>
    <col min="589" max="589" width="9" style="6" customWidth="1"/>
    <col min="590" max="590" width="23.88671875" style="6" customWidth="1"/>
    <col min="591" max="591" width="30.21875" style="6" customWidth="1"/>
    <col min="592" max="592" width="33.88671875" style="6" customWidth="1"/>
    <col min="593" max="593" width="32" style="6" customWidth="1"/>
    <col min="594" max="594" width="35.6640625" style="6" bestFit="1" customWidth="1"/>
    <col min="595" max="595" width="33.88671875" style="6" bestFit="1" customWidth="1"/>
    <col min="596" max="596" width="37.44140625" style="6" customWidth="1"/>
    <col min="597" max="597" width="24.109375" style="6" customWidth="1"/>
    <col min="598" max="598" width="27.6640625" style="6" bestFit="1" customWidth="1"/>
    <col min="599" max="599" width="30.77734375" style="6" bestFit="1" customWidth="1"/>
    <col min="600" max="600" width="34.33203125" style="6" bestFit="1" customWidth="1"/>
    <col min="601" max="601" width="30.21875" style="6" bestFit="1" customWidth="1"/>
    <col min="602" max="602" width="33.88671875" style="6" bestFit="1" customWidth="1"/>
    <col min="603" max="603" width="30.5546875" style="6" bestFit="1" customWidth="1"/>
    <col min="604" max="604" width="11.109375" style="6" customWidth="1"/>
    <col min="605" max="605" width="10" style="6" customWidth="1"/>
    <col min="606" max="606" width="34.109375" style="6" bestFit="1" customWidth="1"/>
    <col min="607" max="607" width="34.5546875" style="6" bestFit="1" customWidth="1"/>
    <col min="608" max="608" width="9" style="6" customWidth="1"/>
    <col min="609" max="609" width="38.109375" style="6" bestFit="1" customWidth="1"/>
    <col min="610" max="610" width="34.5546875" style="6" bestFit="1" customWidth="1"/>
    <col min="611" max="611" width="38.109375" style="6" bestFit="1" customWidth="1"/>
    <col min="612" max="612" width="21.109375" style="6" customWidth="1"/>
    <col min="613" max="613" width="24.6640625" style="6" customWidth="1"/>
    <col min="614" max="614" width="37.21875" style="6" bestFit="1" customWidth="1"/>
    <col min="615" max="615" width="40.77734375" style="6" bestFit="1" customWidth="1"/>
    <col min="616" max="616" width="35.21875" style="6" bestFit="1" customWidth="1"/>
    <col min="617" max="617" width="38.77734375" style="6" bestFit="1" customWidth="1"/>
    <col min="618" max="618" width="24.77734375" style="6" customWidth="1"/>
    <col min="619" max="620" width="10" style="6" customWidth="1"/>
    <col min="621" max="621" width="28.33203125" style="6" customWidth="1"/>
    <col min="622" max="622" width="36" style="6" bestFit="1" customWidth="1"/>
    <col min="623" max="623" width="9" style="6" customWidth="1"/>
    <col min="624" max="624" width="39.6640625" style="6" customWidth="1"/>
    <col min="625" max="625" width="32.21875" style="6" customWidth="1"/>
    <col min="626" max="626" width="35.88671875" style="6" bestFit="1" customWidth="1"/>
    <col min="627" max="627" width="31.33203125" style="6" bestFit="1" customWidth="1"/>
    <col min="628" max="628" width="34.88671875" style="6" customWidth="1"/>
    <col min="629" max="629" width="41.33203125" style="6" customWidth="1"/>
    <col min="630" max="630" width="45" style="6" bestFit="1" customWidth="1"/>
    <col min="631" max="631" width="40.5546875" style="6" bestFit="1" customWidth="1"/>
    <col min="632" max="632" width="44.33203125" style="6" bestFit="1" customWidth="1"/>
    <col min="633" max="633" width="14.5546875" style="6" customWidth="1"/>
    <col min="634" max="634" width="10" style="6" customWidth="1"/>
    <col min="635" max="635" width="18.33203125" style="6" customWidth="1"/>
    <col min="636" max="636" width="27.21875" style="6" bestFit="1" customWidth="1"/>
    <col min="637" max="637" width="31" style="6" bestFit="1" customWidth="1"/>
    <col min="638" max="638" width="18.6640625" style="6" customWidth="1"/>
    <col min="639" max="639" width="22.33203125" style="6" customWidth="1"/>
    <col min="640" max="640" width="36" style="6" customWidth="1"/>
    <col min="641" max="641" width="39.6640625" style="6" customWidth="1"/>
    <col min="642" max="642" width="19.109375" style="6" customWidth="1"/>
    <col min="643" max="643" width="22.88671875" style="6" customWidth="1"/>
    <col min="644" max="644" width="23.109375" style="6" bestFit="1" customWidth="1"/>
    <col min="645" max="645" width="26.77734375" style="6" bestFit="1" customWidth="1"/>
    <col min="646" max="646" width="16.77734375" style="6" customWidth="1"/>
    <col min="647" max="647" width="20.33203125" style="6" customWidth="1"/>
    <col min="648" max="648" width="30.6640625" style="6" bestFit="1" customWidth="1"/>
    <col min="649" max="649" width="34.21875" style="6" bestFit="1" customWidth="1"/>
    <col min="650" max="650" width="49.33203125" style="6" bestFit="1" customWidth="1"/>
    <col min="651" max="651" width="53" style="6" bestFit="1" customWidth="1"/>
    <col min="652" max="652" width="25" style="6" customWidth="1"/>
    <col min="653" max="653" width="28.5546875" style="6" customWidth="1"/>
    <col min="654" max="654" width="24.44140625" style="6" customWidth="1"/>
    <col min="655" max="655" width="10" style="6" customWidth="1"/>
    <col min="656" max="656" width="28" style="6" customWidth="1"/>
    <col min="657" max="657" width="27.21875" style="6" customWidth="1"/>
    <col min="658" max="658" width="31" style="6" customWidth="1"/>
    <col min="659" max="659" width="13.77734375" style="6" customWidth="1"/>
    <col min="660" max="660" width="17.33203125" style="6" customWidth="1"/>
    <col min="661" max="661" width="13.6640625" style="6" customWidth="1"/>
    <col min="662" max="662" width="17.21875" style="6" customWidth="1"/>
    <col min="663" max="663" width="18.77734375" style="6" customWidth="1"/>
    <col min="664" max="664" width="22.44140625" style="6" customWidth="1"/>
    <col min="665" max="665" width="20" style="6" customWidth="1"/>
    <col min="666" max="666" width="10" style="6" customWidth="1"/>
    <col min="667" max="667" width="23.5546875" style="6" customWidth="1"/>
    <col min="668" max="668" width="21" style="6" customWidth="1"/>
    <col min="669" max="670" width="9" style="6" customWidth="1"/>
    <col min="671" max="671" width="24.5546875" style="6" customWidth="1"/>
    <col min="672" max="672" width="28.33203125" style="6" bestFit="1" customWidth="1"/>
    <col min="673" max="673" width="31.88671875" style="6" bestFit="1" customWidth="1"/>
    <col min="674" max="674" width="24.5546875" style="6" bestFit="1" customWidth="1"/>
    <col min="675" max="675" width="28.109375" style="6" bestFit="1" customWidth="1"/>
    <col min="676" max="676" width="35.77734375" style="6" bestFit="1" customWidth="1"/>
    <col min="677" max="677" width="39.44140625" style="6" bestFit="1" customWidth="1"/>
    <col min="678" max="678" width="33.109375" style="6" bestFit="1" customWidth="1"/>
    <col min="679" max="679" width="36.6640625" style="6" bestFit="1" customWidth="1"/>
    <col min="680" max="680" width="22.33203125" style="6" customWidth="1"/>
    <col min="681" max="681" width="11.109375" style="6" customWidth="1"/>
    <col min="682" max="682" width="25.88671875" style="6" customWidth="1"/>
    <col min="683" max="683" width="9.109375" style="6" customWidth="1"/>
    <col min="684" max="684" width="12.21875" style="6" customWidth="1"/>
    <col min="685" max="685" width="11.44140625" style="6" customWidth="1"/>
    <col min="686" max="686" width="37.21875" style="6" bestFit="1" customWidth="1"/>
    <col min="687" max="687" width="40.77734375" style="6" bestFit="1" customWidth="1"/>
    <col min="688" max="688" width="35.21875" style="6" bestFit="1" customWidth="1"/>
    <col min="689" max="689" width="38.77734375" style="6" bestFit="1" customWidth="1"/>
    <col min="690" max="692" width="24.77734375" style="6" bestFit="1" customWidth="1"/>
    <col min="693" max="693" width="28.33203125" style="6" bestFit="1" customWidth="1"/>
    <col min="694" max="695" width="36" style="6" bestFit="1" customWidth="1"/>
    <col min="696" max="696" width="39.6640625" style="6" bestFit="1" customWidth="1"/>
    <col min="697" max="697" width="32.21875" style="6" bestFit="1" customWidth="1"/>
    <col min="698" max="698" width="35.88671875" style="6" bestFit="1" customWidth="1"/>
    <col min="699" max="700" width="14.5546875" style="6" bestFit="1" customWidth="1"/>
    <col min="701" max="701" width="18.33203125" style="6" bestFit="1" customWidth="1"/>
    <col min="702" max="702" width="18.6640625" style="6" bestFit="1" customWidth="1"/>
    <col min="703" max="703" width="22.33203125" style="6" bestFit="1" customWidth="1"/>
    <col min="704" max="704" width="19.109375" style="6" bestFit="1" customWidth="1"/>
    <col min="705" max="705" width="22.88671875" style="6" bestFit="1" customWidth="1"/>
    <col min="706" max="706" width="30.6640625" style="6" bestFit="1" customWidth="1"/>
    <col min="707" max="707" width="34.21875" style="6" bestFit="1" customWidth="1"/>
    <col min="708" max="708" width="49.33203125" style="6" bestFit="1" customWidth="1"/>
    <col min="709" max="709" width="53" style="6" bestFit="1" customWidth="1"/>
    <col min="710" max="710" width="24.44140625" style="6" bestFit="1" customWidth="1"/>
    <col min="711" max="711" width="28" style="6" bestFit="1" customWidth="1"/>
    <col min="712" max="712" width="28.33203125" style="6" bestFit="1" customWidth="1"/>
    <col min="713" max="713" width="31.88671875" style="6" bestFit="1" customWidth="1"/>
    <col min="714" max="714" width="24.5546875" style="6" bestFit="1" customWidth="1"/>
    <col min="715" max="715" width="28.109375" style="6" bestFit="1" customWidth="1"/>
    <col min="716" max="716" width="33.109375" style="6" bestFit="1" customWidth="1"/>
    <col min="717" max="717" width="36.6640625" style="6" bestFit="1" customWidth="1"/>
    <col min="718" max="718" width="9.109375" style="6" bestFit="1" customWidth="1"/>
    <col min="719" max="720" width="12.21875" style="6" bestFit="1" customWidth="1"/>
    <col min="721" max="721" width="11.44140625" style="6" bestFit="1" customWidth="1"/>
    <col min="722" max="16384" width="8.88671875" style="6"/>
  </cols>
  <sheetData>
    <row r="1" spans="2:14" ht="69.599999999999994" customHeight="1">
      <c r="B1" s="26">
        <v>15000</v>
      </c>
      <c r="C1" s="77">
        <f ca="1">DATE(YEAR(TODAY()),B1 - 15000 + MONTH(TODAY()),1)</f>
        <v>42856</v>
      </c>
      <c r="D1" s="77"/>
      <c r="E1" s="77"/>
      <c r="F1" s="77"/>
      <c r="G1" s="77"/>
      <c r="H1" s="27"/>
      <c r="I1" s="27"/>
      <c r="K1" s="20"/>
      <c r="L1" s="19"/>
      <c r="N1" s="7"/>
    </row>
    <row r="2" spans="2:14" ht="13.8" customHeight="1">
      <c r="B2" s="28"/>
      <c r="C2" s="29">
        <v>15000</v>
      </c>
      <c r="D2" s="30"/>
      <c r="E2" s="31"/>
      <c r="F2" s="30"/>
      <c r="G2" s="30"/>
      <c r="H2" s="30"/>
      <c r="I2" s="30"/>
    </row>
    <row r="3" spans="2:14" ht="16.8" customHeight="1">
      <c r="B3" s="23" t="s">
        <v>2</v>
      </c>
      <c r="C3" s="9">
        <v>1</v>
      </c>
      <c r="D3" s="10">
        <v>2</v>
      </c>
      <c r="E3" s="10">
        <v>3</v>
      </c>
      <c r="F3" s="10">
        <v>4</v>
      </c>
      <c r="G3" s="10">
        <v>5</v>
      </c>
      <c r="H3" s="10">
        <v>6</v>
      </c>
      <c r="I3" s="10">
        <v>7</v>
      </c>
      <c r="J3" s="6" t="s">
        <v>0</v>
      </c>
    </row>
    <row r="4" spans="2:14" ht="16.8" customHeight="1">
      <c r="B4" s="24">
        <f ca="1">WEEKNUM(C1,17)</f>
        <v>18</v>
      </c>
      <c r="C4" s="11">
        <f t="shared" ref="C4:I4" ca="1" si="0">IF(MONTH(DATE(YEAR($C$1),1,1)-WEEKDAY(DATE(YEAR($C$1),1,1),1)+($B32)*7+C$3) = MONTH($C$1), DATE(YEAR($C$1),1,1)-WEEKDAY(DATE(YEAR($C$1),1,1),1)+($B32)*7+C$3, DATE(YEAR($C$1),1,1)-WEEKDAY(DATE(YEAR($C$1),1,1),1)+($B4-1)*7+C$3)</f>
        <v>42855</v>
      </c>
      <c r="D4" s="12">
        <f t="shared" ca="1" si="0"/>
        <v>42856</v>
      </c>
      <c r="E4" s="12">
        <f t="shared" ca="1" si="0"/>
        <v>42857</v>
      </c>
      <c r="F4" s="12">
        <f t="shared" ca="1" si="0"/>
        <v>42858</v>
      </c>
      <c r="G4" s="13">
        <f t="shared" ca="1" si="0"/>
        <v>42859</v>
      </c>
      <c r="H4" s="14">
        <f t="shared" ca="1" si="0"/>
        <v>42860</v>
      </c>
      <c r="I4" s="15">
        <f t="shared" ca="1" si="0"/>
        <v>42861</v>
      </c>
      <c r="J4" s="6" t="s">
        <v>0</v>
      </c>
    </row>
    <row r="5" spans="2:14" ht="16.8" customHeight="1">
      <c r="B5" s="25"/>
      <c r="C5" s="16">
        <f t="array" aca="1" ref="C5" ca="1">IF(COUNTIFS(Listing!$A$2:$A$1000, Calendar!$L$5, Listing!$C$2:$C$1000, "&gt;=" &amp; C4, Listing!$C$2:$C$1000, "&lt;" &amp; C4 + 1) &gt; 1,
COUNTIFS(Listing!$A$2:$A$1000, Calendar!$L$5, Listing!$C$2:$C$1000, "&gt;=" &amp; C4, Listing!$C$2:$C$1000, "&lt;" &amp; C4 + 1),
IFERROR(INDEX(Listing!$B$2:$B$1000,MATCH(1, (Calendar!$L$5=Listing!$A$2:$A$1000) * (C4 = FLOOR(Listing!$C$2:$C$1000, 1)),0)),""))</f>
        <v>3</v>
      </c>
      <c r="D5" s="16" t="str">
        <f t="array" aca="1" ref="D5" ca="1">IF(COUNTIFS(Listing!$A$2:$A$1000, Calendar!$L$5, Listing!$C$2:$C$1000, "&gt;=" &amp; D4, Listing!$C$2:$C$1000, "&lt;" &amp; D4 + 1) &gt; 1,
COUNTIFS(Listing!$A$2:$A$1000, Calendar!$L$5, Listing!$C$2:$C$1000, "&gt;=" &amp; D4, Listing!$C$2:$C$1000, "&lt;" &amp; D4 + 1),
IFERROR(INDEX(Listing!$B$2:$B$1000,MATCH(1, (Calendar!$L$5=Listing!$A$2:$A$1000) * (D4 = FLOOR(Listing!$C$2:$C$1000, 1)),0)),""))</f>
        <v>Lila Love</v>
      </c>
      <c r="E5" s="16" t="str">
        <f t="array" aca="1" ref="E5" ca="1">IF(COUNTIFS(Listing!$A$2:$A$1000, Calendar!$L$5, Listing!$C$2:$C$1000, "&gt;=" &amp; E4, Listing!$C$2:$C$1000, "&lt;" &amp; E4 + 1) &gt; 1,
COUNTIFS(Listing!$A$2:$A$1000, Calendar!$L$5, Listing!$C$2:$C$1000, "&gt;=" &amp; E4, Listing!$C$2:$C$1000, "&lt;" &amp; E4 + 1),
IFERROR(INDEX(Listing!$B$2:$B$1000,MATCH(1, (Calendar!$L$5=Listing!$A$2:$A$1000) * (E4 = FLOOR(Listing!$C$2:$C$1000, 1)),0)),""))</f>
        <v/>
      </c>
      <c r="F5" s="16" t="str">
        <f t="array" aca="1" ref="F5" ca="1">IF(COUNTIFS(Listing!$A$2:$A$1000, Calendar!$L$5, Listing!$C$2:$C$1000, "&gt;=" &amp; F4, Listing!$C$2:$C$1000, "&lt;" &amp; F4 + 1) &gt; 1,
COUNTIFS(Listing!$A$2:$A$1000, Calendar!$L$5, Listing!$C$2:$C$1000, "&gt;=" &amp; F4, Listing!$C$2:$C$1000, "&lt;" &amp; F4 + 1),
IFERROR(INDEX(Listing!$B$2:$B$1000,MATCH(1, (Calendar!$L$5=Listing!$A$2:$A$1000) * (F4 = FLOOR(Listing!$C$2:$C$1000, 1)),0)),""))</f>
        <v/>
      </c>
      <c r="G5" s="16" t="str">
        <f t="array" aca="1" ref="G5" ca="1">IF(COUNTIFS(Listing!$A$2:$A$1000, Calendar!$L$5, Listing!$C$2:$C$1000, "&gt;=" &amp; G4, Listing!$C$2:$C$1000, "&lt;" &amp; G4 + 1) &gt; 1,
COUNTIFS(Listing!$A$2:$A$1000, Calendar!$L$5, Listing!$C$2:$C$1000, "&gt;=" &amp; G4, Listing!$C$2:$C$1000, "&lt;" &amp; G4 + 1),
IFERROR(INDEX(Listing!$B$2:$B$1000,MATCH(1, (Calendar!$L$5=Listing!$A$2:$A$1000) * (G4 = FLOOR(Listing!$C$2:$C$1000, 1)),0)),""))</f>
        <v>Laraine Longworth</v>
      </c>
      <c r="H5" s="16" t="str">
        <f t="array" aca="1" ref="H5" ca="1">IF(COUNTIFS(Listing!$A$2:$A$1000, Calendar!$L$5, Listing!$C$2:$C$1000, "&gt;=" &amp; H4, Listing!$C$2:$C$1000, "&lt;" &amp; H4 + 1) &gt; 1,
COUNTIFS(Listing!$A$2:$A$1000, Calendar!$L$5, Listing!$C$2:$C$1000, "&gt;=" &amp; H4, Listing!$C$2:$C$1000, "&lt;" &amp; H4 + 1),
IFERROR(INDEX(Listing!$B$2:$B$1000,MATCH(1, (Calendar!$L$5=Listing!$A$2:$A$1000) * (H4 = FLOOR(Listing!$C$2:$C$1000, 1)),0)),""))</f>
        <v>Cory Carty</v>
      </c>
      <c r="I5" s="16" t="str">
        <f t="array" aca="1" ref="I5" ca="1">IF(COUNTIFS(Listing!$A$2:$A$1000, Calendar!$L$5, Listing!$C$2:$C$1000, "&gt;=" &amp; I4, Listing!$C$2:$C$1000, "&lt;" &amp; I4 + 1) &gt; 1,
COUNTIFS(Listing!$A$2:$A$1000, Calendar!$L$5, Listing!$C$2:$C$1000, "&gt;=" &amp; I4, Listing!$C$2:$C$1000, "&lt;" &amp; I4 + 1),
IFERROR(INDEX(Listing!$B$2:$B$1000,MATCH(1, (Calendar!$L$5=Listing!$A$2:$A$1000) * (I4 = FLOOR(Listing!$C$2:$C$1000, 1)),0)),""))</f>
        <v/>
      </c>
      <c r="J5" s="6" t="s">
        <v>0</v>
      </c>
      <c r="K5" s="50" t="s">
        <v>14</v>
      </c>
      <c r="L5" s="45" t="s">
        <v>216</v>
      </c>
    </row>
    <row r="6" spans="2:14" ht="16.8" customHeight="1">
      <c r="B6" s="25"/>
      <c r="C6" s="16">
        <f t="array" aca="1" ref="C6" ca="1">IF(COUNTIFS(Listing!$A$2:$A$1000, Calendar!$L$6, Listing!$C$2:$C$1000, "&gt;=" &amp; C4, Listing!$C$2:$C$1000, "&lt;" &amp; C4 + 1) &gt; 1,
COUNTIFS(Listing!$A$2:$A$1000, Calendar!$L$6, Listing!$C$2:$C$1000, "&gt;=" &amp; C4, Listing!$C$2:$C$1000, "&lt;" &amp; C4 + 1),
IFERROR(INDEX(Listing!$B$2:$B$1000,MATCH(1, (Calendar!$L$6=Listing!$A$2:$A$1000) * (C4 = FLOOR(Listing!$C$2:$C$1000,1)),0)),""))</f>
        <v>2</v>
      </c>
      <c r="D6" s="16" t="str">
        <f t="array" aca="1" ref="D6" ca="1">IF(COUNTIFS(Listing!$A$2:$A$1000, Calendar!$L$6, Listing!$C$2:$C$1000, "&gt;=" &amp; D4, Listing!$C$2:$C$1000, "&lt;" &amp; D4 + 1) &gt; 1,
COUNTIFS(Listing!$A$2:$A$1000, Calendar!$L$6, Listing!$C$2:$C$1000, "&gt;=" &amp; D4, Listing!$C$2:$C$1000, "&lt;" &amp; D4 + 1),
IFERROR(INDEX(Listing!$B$2:$B$1000,MATCH(1, (Calendar!$L$6=Listing!$A$2:$A$1000) * (D4 = FLOOR(Listing!$C$2:$C$1000,1)),0)),""))</f>
        <v/>
      </c>
      <c r="E6" s="16" t="str">
        <f t="array" aca="1" ref="E6" ca="1">IF(COUNTIFS(Listing!$A$2:$A$1000, Calendar!$L$6, Listing!$C$2:$C$1000, "&gt;=" &amp; E4, Listing!$C$2:$C$1000, "&lt;" &amp; E4 + 1) &gt; 1,
COUNTIFS(Listing!$A$2:$A$1000, Calendar!$L$6, Listing!$C$2:$C$1000, "&gt;=" &amp; E4, Listing!$C$2:$C$1000, "&lt;" &amp; E4 + 1),
IFERROR(INDEX(Listing!$B$2:$B$1000,MATCH(1, (Calendar!$L$6=Listing!$A$2:$A$1000) * (E4 = FLOOR(Listing!$C$2:$C$1000,1)),0)),""))</f>
        <v/>
      </c>
      <c r="F6" s="16" t="str">
        <f t="array" aca="1" ref="F6" ca="1">IF(COUNTIFS(Listing!$A$2:$A$1000, Calendar!$L$6, Listing!$C$2:$C$1000, "&gt;=" &amp; F4, Listing!$C$2:$C$1000, "&lt;" &amp; F4 + 1) &gt; 1,
COUNTIFS(Listing!$A$2:$A$1000, Calendar!$L$6, Listing!$C$2:$C$1000, "&gt;=" &amp; F4, Listing!$C$2:$C$1000, "&lt;" &amp; F4 + 1),
IFERROR(INDEX(Listing!$B$2:$B$1000,MATCH(1, (Calendar!$L$6=Listing!$A$2:$A$1000) * (F4 = FLOOR(Listing!$C$2:$C$1000,1)),0)),""))</f>
        <v/>
      </c>
      <c r="G6" s="16" t="str">
        <f t="array" aca="1" ref="G6" ca="1">IF(COUNTIFS(Listing!$A$2:$A$1000, Calendar!$L$6, Listing!$C$2:$C$1000, "&gt;=" &amp; G4, Listing!$C$2:$C$1000, "&lt;" &amp; G4 + 1) &gt; 1,
COUNTIFS(Listing!$A$2:$A$1000, Calendar!$L$6, Listing!$C$2:$C$1000, "&gt;=" &amp; G4, Listing!$C$2:$C$1000, "&lt;" &amp; G4 + 1),
IFERROR(INDEX(Listing!$B$2:$B$1000,MATCH(1, (Calendar!$L$6=Listing!$A$2:$A$1000) * (G4 = FLOOR(Listing!$C$2:$C$1000,1)),0)),""))</f>
        <v/>
      </c>
      <c r="H6" s="16" t="str">
        <f t="array" aca="1" ref="H6" ca="1">IF(COUNTIFS(Listing!$A$2:$A$1000, Calendar!$L$6, Listing!$C$2:$C$1000, "&gt;=" &amp; H4, Listing!$C$2:$C$1000, "&lt;" &amp; H4 + 1) &gt; 1,
COUNTIFS(Listing!$A$2:$A$1000, Calendar!$L$6, Listing!$C$2:$C$1000, "&gt;=" &amp; H4, Listing!$C$2:$C$1000, "&lt;" &amp; H4 + 1),
IFERROR(INDEX(Listing!$B$2:$B$1000,MATCH(1, (Calendar!$L$6=Listing!$A$2:$A$1000) * (H4 = FLOOR(Listing!$C$2:$C$1000,1)),0)),""))</f>
        <v/>
      </c>
      <c r="I6" s="16">
        <f t="array" aca="1" ref="I6" ca="1">IF(COUNTIFS(Listing!$A$2:$A$1000, Calendar!$L$6, Listing!$C$2:$C$1000, "&gt;=" &amp; I4, Listing!$C$2:$C$1000, "&lt;" &amp; I4 + 1) &gt; 1,
COUNTIFS(Listing!$A$2:$A$1000, Calendar!$L$6, Listing!$C$2:$C$1000, "&gt;=" &amp; I4, Listing!$C$2:$C$1000, "&lt;" &amp; I4 + 1),
IFERROR(INDEX(Listing!$B$2:$B$1000,MATCH(1, (Calendar!$L$6=Listing!$A$2:$A$1000) * (I4 = FLOOR(Listing!$C$2:$C$1000,1)),0)),""))</f>
        <v>2</v>
      </c>
      <c r="J6" s="6" t="s">
        <v>0</v>
      </c>
      <c r="L6" s="46" t="s">
        <v>217</v>
      </c>
    </row>
    <row r="7" spans="2:14" ht="16.8" customHeight="1">
      <c r="B7" s="25"/>
      <c r="C7" s="16" t="str">
        <f t="array" aca="1" ref="C7" ca="1">IF(COUNTIFS(Listing!$A$2:$A$1000, Calendar!$L$7, Listing!$C$2:$C$1000, "&gt;=" &amp; C4, Listing!$C$2:$C$1000, "&lt;" &amp; C4 + 1) &gt; 1,
COUNTIFS(Listing!$A$2:$A$1000, Calendar!$L$7, Listing!$C$2:$C$1000, "&gt;=" &amp; C4, Listing!$C$2:$C$1000, "&lt;" &amp; C4 + 1),
IFERROR(INDEX(Listing!$B$2:$B$1000,MATCH(1, (Calendar!$L$7=Listing!$A$2:$A$1000) * (C4 = FLOOR(Listing!$C$2:$C$1000,1)),0)),""))</f>
        <v/>
      </c>
      <c r="D7" s="16" t="str">
        <f ca="1">IF(COUNTIFS(Listing!$A$2:$A$1000, Calendar!$L$7, Listing!$C$2:$C$1000, "&gt;=" &amp; D4, Listing!$C$2:$C$1000, "&lt;" &amp; D4 + 1) &gt; 1,
COUNTIFS(Listing!$A$2:$A$1000, Calendar!$L$7, Listing!$C$2:$C$1000, "&gt;=" &amp; D4, Listing!$C$2:$C$1000, "&lt;" &amp; D4 + 1),
IFERROR(INDEX(Listing!$B$2:$B$1000,MATCH(1, (Calendar!$L$7=Listing!$A$2:$A$1000) * (D4 = FLOOR(Listing!$C$2:$C$1000,1)),0)),""))</f>
        <v/>
      </c>
      <c r="E7" s="16" t="str">
        <f t="array" aca="1" ref="E7" ca="1">IF(COUNTIFS(Listing!$A$2:$A$1000, Calendar!$L$7, Listing!$C$2:$C$1000, "&gt;=" &amp; E4, Listing!$C$2:$C$1000, "&lt;" &amp; E4 + 1) &gt; 1,
COUNTIFS(Listing!$A$2:$A$1000, Calendar!$L$7, Listing!$C$2:$C$1000, "&gt;=" &amp; E4, Listing!$C$2:$C$1000, "&lt;" &amp; E4 + 1),
IFERROR(INDEX(Listing!$B$2:$B$1000,MATCH(1, (Calendar!$L$7=Listing!$A$2:$A$1000) * (E4 = FLOOR(Listing!$C$2:$C$1000,1)),0)),""))</f>
        <v/>
      </c>
      <c r="F7" s="16" t="str">
        <f t="array" aca="1" ref="F7" ca="1">IF(COUNTIFS(Listing!$A$2:$A$1000, Calendar!$L$7, Listing!$C$2:$C$1000, "&gt;=" &amp; F4, Listing!$C$2:$C$1000, "&lt;" &amp; F4 + 1) &gt; 1,
COUNTIFS(Listing!$A$2:$A$1000, Calendar!$L$7, Listing!$C$2:$C$1000, "&gt;=" &amp; F4, Listing!$C$2:$C$1000, "&lt;" &amp; F4 + 1),
IFERROR(INDEX(Listing!$B$2:$B$1000,MATCH(1, (Calendar!$L$7=Listing!$A$2:$A$1000) * (F4 = FLOOR(Listing!$C$2:$C$1000,1)),0)),""))</f>
        <v>Keva Kamm</v>
      </c>
      <c r="G7" s="16" t="str">
        <f t="array" aca="1" ref="G7" ca="1">IF(COUNTIFS(Listing!$A$2:$A$1000, Calendar!$L$7, Listing!$C$2:$C$1000, "&gt;=" &amp; G4, Listing!$C$2:$C$1000, "&lt;" &amp; G4 + 1) &gt; 1,
COUNTIFS(Listing!$A$2:$A$1000, Calendar!$L$7, Listing!$C$2:$C$1000, "&gt;=" &amp; G4, Listing!$C$2:$C$1000, "&lt;" &amp; G4 + 1),
IFERROR(INDEX(Listing!$B$2:$B$1000,MATCH(1, (Calendar!$L$7=Listing!$A$2:$A$1000) * (G4 = FLOOR(Listing!$C$2:$C$1000,1)),0)),""))</f>
        <v/>
      </c>
      <c r="H7" s="16" t="str">
        <f t="array" aca="1" ref="H7" ca="1">IF(COUNTIFS(Listing!$A$2:$A$1000, Calendar!$L$7, Listing!$C$2:$C$1000, "&gt;=" &amp; H4, Listing!$C$2:$C$1000, "&lt;" &amp; H4 + 1) &gt; 1,
COUNTIFS(Listing!$A$2:$A$1000, Calendar!$L$7, Listing!$C$2:$C$1000, "&gt;=" &amp; H4, Listing!$C$2:$C$1000, "&lt;" &amp; H4 + 1),
IFERROR(INDEX(Listing!$B$2:$B$1000,MATCH(1, (Calendar!$L$7=Listing!$A$2:$A$1000) * (H4 = FLOOR(Listing!$C$2:$C$1000,1)),0)),""))</f>
        <v/>
      </c>
      <c r="I7" s="16" t="str">
        <f t="array" aca="1" ref="I7" ca="1">IF(COUNTIFS(Listing!$A$2:$A$1000, Calendar!$L$7, Listing!$C$2:$C$1000, "&gt;=" &amp; I4, Listing!$C$2:$C$1000, "&lt;" &amp; I4 + 1) &gt; 1,
COUNTIFS(Listing!$A$2:$A$1000, Calendar!$L$7, Listing!$C$2:$C$1000, "&gt;=" &amp; I4, Listing!$C$2:$C$1000, "&lt;" &amp; I4 + 1),
IFERROR(INDEX(Listing!$B$2:$B$1000,MATCH(1, (Calendar!$L$7=Listing!$A$2:$A$1000) * (I4 = FLOOR(Listing!$C$2:$C$1000,1)),0)),""))</f>
        <v/>
      </c>
      <c r="J7" s="6" t="s">
        <v>0</v>
      </c>
      <c r="L7" s="47" t="s">
        <v>218</v>
      </c>
    </row>
    <row r="8" spans="2:14" ht="15.6" customHeight="1">
      <c r="B8" s="25"/>
      <c r="C8" s="16" t="str">
        <f t="array" aca="1" ref="C8" ca="1">IF(COUNTIFS(Listing!$A$2:$A$1000, Calendar!$L$8, Listing!$C$2:$C$1000, "&gt;=" &amp; C4, Listing!$C$2:$C$1000, "&lt;" &amp; C4 + 1) &gt; 1,
COUNTIFS(Listing!$A$2:$A$1000, Calendar!$L$8, Listing!$C$2:$C$1000, "&gt;=" &amp; C4, Listing!$C$2:$C$1000, "&lt;" &amp; C4 + 1),
IFERROR(INDEX(Listing!$B$2:$B$1000,MATCH(1, (Calendar!$L$8=Listing!$A$2:$A$1000) * (C4 = FLOOR(Listing!$C$2:$C$1000,1)),0)),""))</f>
        <v/>
      </c>
      <c r="D8" s="16" t="str">
        <f t="array" aca="1" ref="D8" ca="1">IF(COUNTIFS(Listing!$A$2:$A$1000, Calendar!$L$8, Listing!$C$2:$C$1000, "&gt;=" &amp; D4, Listing!$C$2:$C$1000, "&lt;" &amp; D4 + 1) &gt; 1,
COUNTIFS(Listing!$A$2:$A$1000, Calendar!$L$8, Listing!$C$2:$C$1000, "&gt;=" &amp; D4, Listing!$C$2:$C$1000, "&lt;" &amp; D4 + 1),
IFERROR(INDEX(Listing!$B$2:$B$1000,MATCH(1, (Calendar!$L$8=Listing!$A$2:$A$1000) * (D4 = FLOOR(Listing!$C$2:$C$1000,1)),0)),""))</f>
        <v>Alfonzo Arteaga</v>
      </c>
      <c r="E8" s="16" t="str">
        <f t="array" aca="1" ref="E8" ca="1">IF(COUNTIFS(Listing!$A$2:$A$1000, Calendar!$L$8, Listing!$C$2:$C$1000, "&gt;=" &amp; E4, Listing!$C$2:$C$1000, "&lt;" &amp; E4 + 1) &gt; 1,
COUNTIFS(Listing!$A$2:$A$1000, Calendar!$L$8, Listing!$C$2:$C$1000, "&gt;=" &amp; E4, Listing!$C$2:$C$1000, "&lt;" &amp; E4 + 1),
IFERROR(INDEX(Listing!$B$2:$B$1000,MATCH(1, (Calendar!$L$8=Listing!$A$2:$A$1000) * (E4 = FLOOR(Listing!$C$2:$C$1000,1)),0)),""))</f>
        <v/>
      </c>
      <c r="F8" s="16" t="str">
        <f t="array" aca="1" ref="F8" ca="1">IF(COUNTIFS(Listing!$A$2:$A$1000, Calendar!$L$8, Listing!$C$2:$C$1000, "&gt;=" &amp; F4, Listing!$C$2:$C$1000, "&lt;" &amp; F4 + 1) &gt; 1,
COUNTIFS(Listing!$A$2:$A$1000, Calendar!$L$8, Listing!$C$2:$C$1000, "&gt;=" &amp; F4, Listing!$C$2:$C$1000, "&lt;" &amp; F4 + 1),
IFERROR(INDEX(Listing!$B$2:$B$1000,MATCH(1, (Calendar!$L$8=Listing!$A$2:$A$1000) * (F4 = FLOOR(Listing!$C$2:$C$1000,1)),0)),""))</f>
        <v/>
      </c>
      <c r="G8" s="16" t="str">
        <f t="array" aca="1" ref="G8" ca="1">IF(COUNTIFS(Listing!$A$2:$A$1000, Calendar!$L$8, Listing!$C$2:$C$1000, "&gt;=" &amp; G4, Listing!$C$2:$C$1000, "&lt;" &amp; G4 + 1) &gt; 1,
COUNTIFS(Listing!$A$2:$A$1000, Calendar!$L$8, Listing!$C$2:$C$1000, "&gt;=" &amp; G4, Listing!$C$2:$C$1000, "&lt;" &amp; G4 + 1),
IFERROR(INDEX(Listing!$B$2:$B$1000,MATCH(1, (Calendar!$L$8=Listing!$A$2:$A$1000) * (G4 = FLOOR(Listing!$C$2:$C$1000,1)),0)),""))</f>
        <v/>
      </c>
      <c r="H8" s="16" t="str">
        <f t="array" aca="1" ref="H8" ca="1">IF(COUNTIFS(Listing!$A$2:$A$1000, Calendar!$L$8, Listing!$C$2:$C$1000, "&gt;=" &amp; H4, Listing!$C$2:$C$1000, "&lt;" &amp; H4 + 1) &gt; 1,
COUNTIFS(Listing!$A$2:$A$1000, Calendar!$L$8, Listing!$C$2:$C$1000, "&gt;=" &amp; H4, Listing!$C$2:$C$1000, "&lt;" &amp; H4 + 1),
IFERROR(INDEX(Listing!$B$2:$B$1000,MATCH(1, (Calendar!$L$8=Listing!$A$2:$A$1000) * (H4 = FLOOR(Listing!$C$2:$C$1000,1)),0)),""))</f>
        <v/>
      </c>
      <c r="I8" s="16" t="str">
        <f t="array" aca="1" ref="I8" ca="1">IF(COUNTIFS(Listing!$A$2:$A$1000, Calendar!$L$8, Listing!$C$2:$C$1000, "&gt;=" &amp; I4, Listing!$C$2:$C$1000, "&lt;" &amp; I4 + 1) &gt; 1,
COUNTIFS(Listing!$A$2:$A$1000, Calendar!$L$8, Listing!$C$2:$C$1000, "&gt;=" &amp; I4, Listing!$C$2:$C$1000, "&lt;" &amp; I4 + 1),
IFERROR(INDEX(Listing!$B$2:$B$1000,MATCH(1, (Calendar!$L$8=Listing!$A$2:$A$1000) * (I4 = FLOOR(Listing!$C$2:$C$1000,1)),0)),""))</f>
        <v/>
      </c>
      <c r="J8" s="6" t="s">
        <v>0</v>
      </c>
      <c r="L8" s="48" t="s">
        <v>219</v>
      </c>
    </row>
    <row r="9" spans="2:14" ht="16.8" customHeight="1">
      <c r="B9" s="25"/>
      <c r="C9" s="16" t="str">
        <f t="array" aca="1" ref="C9" ca="1">IF(COUNTIFS(Listing!$A$2:$A$1000, Calendar!$L$9, Listing!$C$2:$C$1000, "&gt;=" &amp; C4, Listing!$C$2:$C$1000, "&lt;" &amp; C4 + 1) &gt; 1,
COUNTIFS(Listing!$A$2:$A$1000, Calendar!$L$9, Listing!$C$2:$C$1000, "&gt;=" &amp; C4, Listing!$C$2:$C$1000, "&lt;" &amp; C4 + 1),
IFERROR(INDEX(Listing!$B$2:$B$1000,MATCH(1, (Calendar!$L$9=Listing!$A$2:$A$1000) * (C4 = FLOOR(Listing!$C$2:$C$1000,1)),0)),""))</f>
        <v>Constance Curtsinger</v>
      </c>
      <c r="D9" s="16" t="str">
        <f t="array" aca="1" ref="D9" ca="1">IF(COUNTIFS(Listing!$A$2:$A$1000, Calendar!$L$9, Listing!$C$2:$C$1000, "&gt;=" &amp; D4, Listing!$C$2:$C$1000, "&lt;" &amp; D4 + 1) &gt; 1,
COUNTIFS(Listing!$A$2:$A$1000, Calendar!$L$9, Listing!$C$2:$C$1000, "&gt;=" &amp; D4, Listing!$C$2:$C$1000, "&lt;" &amp; D4 + 1),
IFERROR(INDEX(Listing!$B$2:$B$1000,MATCH(1, (Calendar!$L$9=Listing!$A$2:$A$1000) * (D4 = FLOOR(Listing!$C$2:$C$1000,1)),0)),""))</f>
        <v/>
      </c>
      <c r="E9" s="16" t="str">
        <f t="array" aca="1" ref="E9" ca="1">IF(COUNTIFS(Listing!$A$2:$A$1000, Calendar!$L$9, Listing!$C$2:$C$1000, "&gt;=" &amp; E4, Listing!$C$2:$C$1000, "&lt;" &amp; E4 + 1) &gt; 1,
COUNTIFS(Listing!$A$2:$A$1000, Calendar!$L$9, Listing!$C$2:$C$1000, "&gt;=" &amp; E4, Listing!$C$2:$C$1000, "&lt;" &amp; E4 + 1),
IFERROR(INDEX(Listing!$B$2:$B$1000,MATCH(1, (Calendar!$L$9=Listing!$A$2:$A$1000) * (E4 = FLOOR(Listing!$C$2:$C$1000,1)),0)),""))</f>
        <v>Toshiko Toews</v>
      </c>
      <c r="F9" s="16" t="str">
        <f t="array" aca="1" ref="F9" ca="1">IF(COUNTIFS(Listing!$A$2:$A$1000, Calendar!$L$9, Listing!$C$2:$C$1000, "&gt;=" &amp; F4, Listing!$C$2:$C$1000, "&lt;" &amp; F4 + 1) &gt; 1,
COUNTIFS(Listing!$A$2:$A$1000, Calendar!$L$9, Listing!$C$2:$C$1000, "&gt;=" &amp; F4, Listing!$C$2:$C$1000, "&lt;" &amp; F4 + 1),
IFERROR(INDEX(Listing!$B$2:$B$1000,MATCH(1, (Calendar!$L$9=Listing!$A$2:$A$1000) * (F4 = FLOOR(Listing!$C$2:$C$1000,1)),0)),""))</f>
        <v/>
      </c>
      <c r="G9" s="16">
        <f t="array" aca="1" ref="G9" ca="1">IF(COUNTIFS(Listing!$A$2:$A$1000, Calendar!$L$9, Listing!$C$2:$C$1000, "&gt;=" &amp; G4, Listing!$C$2:$C$1000, "&lt;" &amp; G4 + 1) &gt; 1,
COUNTIFS(Listing!$A$2:$A$1000, Calendar!$L$9, Listing!$C$2:$C$1000, "&gt;=" &amp; G4, Listing!$C$2:$C$1000, "&lt;" &amp; G4 + 1),
IFERROR(INDEX(Listing!$B$2:$B$1000,MATCH(1, (Calendar!$L$9=Listing!$A$2:$A$1000) * (G4 = FLOOR(Listing!$C$2:$C$1000,1)),0)),""))</f>
        <v>2</v>
      </c>
      <c r="H9" s="16" t="str">
        <f t="array" aca="1" ref="H9" ca="1">IF(COUNTIFS(Listing!$A$2:$A$1000, Calendar!$L$9, Listing!$C$2:$C$1000, "&gt;=" &amp; H4, Listing!$C$2:$C$1000, "&lt;" &amp; H4 + 1) &gt; 1,
COUNTIFS(Listing!$A$2:$A$1000, Calendar!$L$9, Listing!$C$2:$C$1000, "&gt;=" &amp; H4, Listing!$C$2:$C$1000, "&lt;" &amp; H4 + 1),
IFERROR(INDEX(Listing!$B$2:$B$1000,MATCH(1, (Calendar!$L$9=Listing!$A$2:$A$1000) * (H4 = FLOOR(Listing!$C$2:$C$1000,1)),0)),""))</f>
        <v>Hosea Hosein</v>
      </c>
      <c r="I9" s="16">
        <f t="array" aca="1" ref="I9" ca="1">IF(COUNTIFS(Listing!$A$2:$A$1000, Calendar!$L$9, Listing!$C$2:$C$1000, "&gt;=" &amp; I4, Listing!$C$2:$C$1000, "&lt;" &amp; I4 + 1) &gt; 1,
COUNTIFS(Listing!$A$2:$A$1000, Calendar!$L$9, Listing!$C$2:$C$1000, "&gt;=" &amp; I4, Listing!$C$2:$C$1000, "&lt;" &amp; I4 + 1),
IFERROR(INDEX(Listing!$B$2:$B$1000,MATCH(1, (Calendar!$L$9=Listing!$A$2:$A$1000) * (I4 = FLOOR(Listing!$C$2:$C$1000,1)),0)),""))</f>
        <v>2</v>
      </c>
      <c r="J9" s="6" t="s">
        <v>0</v>
      </c>
      <c r="L9" s="49" t="s">
        <v>220</v>
      </c>
    </row>
    <row r="10" spans="2:14" ht="16.8" customHeight="1">
      <c r="B10" s="25"/>
      <c r="C10" s="17"/>
      <c r="D10" s="17"/>
      <c r="E10" s="17"/>
      <c r="F10" s="17"/>
      <c r="G10" s="17"/>
      <c r="H10" s="17"/>
      <c r="I10" s="17"/>
      <c r="J10" s="6" t="s">
        <v>0</v>
      </c>
    </row>
    <row r="11" spans="2:14" ht="16.8" customHeight="1">
      <c r="B11" s="24">
        <f ca="1">B4+1</f>
        <v>19</v>
      </c>
      <c r="C11" s="11">
        <f t="shared" ref="C11:I11" ca="1" si="1">DATE(YEAR($C$1),1,1)-WEEKDAY(DATE(YEAR($C$1),1,1),1)+($B11-1)*7+C$3</f>
        <v>42862</v>
      </c>
      <c r="D11" s="12">
        <f t="shared" ca="1" si="1"/>
        <v>42863</v>
      </c>
      <c r="E11" s="12">
        <f t="shared" ca="1" si="1"/>
        <v>42864</v>
      </c>
      <c r="F11" s="12">
        <f t="shared" ca="1" si="1"/>
        <v>42865</v>
      </c>
      <c r="G11" s="13">
        <f t="shared" ca="1" si="1"/>
        <v>42866</v>
      </c>
      <c r="H11" s="14">
        <f t="shared" ca="1" si="1"/>
        <v>42867</v>
      </c>
      <c r="I11" s="15">
        <f t="shared" ca="1" si="1"/>
        <v>42868</v>
      </c>
      <c r="J11" s="6" t="s">
        <v>0</v>
      </c>
    </row>
    <row r="12" spans="2:14" ht="16.8" customHeight="1">
      <c r="B12" s="24"/>
      <c r="C12" s="16" t="str">
        <f t="array" aca="1" ref="C12" ca="1">IF(COUNTIFS(Listing!$A$2:$A$1000, Calendar!$L$5, Listing!$C$2:$C$1000, "&gt;=" &amp; C11, Listing!$C$2:$C$1000, "&lt;" &amp; C11 + 1) &gt; 1,
COUNTIFS(Listing!$A$2:$A$1000, Calendar!$L$5, Listing!$C$2:$C$1000, "&gt;=" &amp; C11, Listing!$C$2:$C$1000, "&lt;" &amp; C11 + 1),
IFERROR(INDEX(Listing!$B$2:$B$1000,MATCH(1, (Calendar!$L$5=Listing!$A$2:$A$1000) * (C11 = FLOOR(Listing!$C$2:$C$1000, 1)),0)),""))</f>
        <v/>
      </c>
      <c r="D12" s="16" t="str">
        <f t="array" aca="1" ref="D12" ca="1">IF(COUNTIFS(Listing!$A$2:$A$1000, Calendar!$L$5, Listing!$C$2:$C$1000, "&gt;=" &amp; D11, Listing!$C$2:$C$1000, "&lt;" &amp; D11 + 1) &gt; 1,
COUNTIFS(Listing!$A$2:$A$1000, Calendar!$L$5, Listing!$C$2:$C$1000, "&gt;=" &amp; D11, Listing!$C$2:$C$1000, "&lt;" &amp; D11 + 1),
IFERROR(INDEX(Listing!$B$2:$B$1000,MATCH(1, (Calendar!$L$5=Listing!$A$2:$A$1000) * (D11 = FLOOR(Listing!$C$2:$C$1000, 1)),0)),""))</f>
        <v/>
      </c>
      <c r="E12" s="16" t="str">
        <f t="array" aca="1" ref="E12" ca="1">IF(COUNTIFS(Listing!$A$2:$A$1000, Calendar!$L$5, Listing!$C$2:$C$1000, "&gt;=" &amp; E11, Listing!$C$2:$C$1000, "&lt;" &amp; E11 + 1) &gt; 1,
COUNTIFS(Listing!$A$2:$A$1000, Calendar!$L$5, Listing!$C$2:$C$1000, "&gt;=" &amp; E11, Listing!$C$2:$C$1000, "&lt;" &amp; E11 + 1),
IFERROR(INDEX(Listing!$B$2:$B$1000,MATCH(1, (Calendar!$L$5=Listing!$A$2:$A$1000) * (E11 = FLOOR(Listing!$C$2:$C$1000, 1)),0)),""))</f>
        <v/>
      </c>
      <c r="F12" s="16" t="str">
        <f t="array" aca="1" ref="F12" ca="1">IF(COUNTIFS(Listing!$A$2:$A$1000, Calendar!$L$5, Listing!$C$2:$C$1000, "&gt;=" &amp; F11, Listing!$C$2:$C$1000, "&lt;" &amp; F11 + 1) &gt; 1,
COUNTIFS(Listing!$A$2:$A$1000, Calendar!$L$5, Listing!$C$2:$C$1000, "&gt;=" &amp; F11, Listing!$C$2:$C$1000, "&lt;" &amp; F11 + 1),
IFERROR(INDEX(Listing!$B$2:$B$1000,MATCH(1, (Calendar!$L$5=Listing!$A$2:$A$1000) * (F11 = FLOOR(Listing!$C$2:$C$1000, 1)),0)),""))</f>
        <v/>
      </c>
      <c r="G12" s="16" t="str">
        <f t="array" aca="1" ref="G12" ca="1">IF(COUNTIFS(Listing!$A$2:$A$1000, Calendar!$L$5, Listing!$C$2:$C$1000, "&gt;=" &amp; G11, Listing!$C$2:$C$1000, "&lt;" &amp; G11 + 1) &gt; 1,
COUNTIFS(Listing!$A$2:$A$1000, Calendar!$L$5, Listing!$C$2:$C$1000, "&gt;=" &amp; G11, Listing!$C$2:$C$1000, "&lt;" &amp; G11 + 1),
IFERROR(INDEX(Listing!$B$2:$B$1000,MATCH(1, (Calendar!$L$5=Listing!$A$2:$A$1000) * (G11 = FLOOR(Listing!$C$2:$C$1000, 1)),0)),""))</f>
        <v>Carina Cavin</v>
      </c>
      <c r="H12" s="16" t="str">
        <f t="array" aca="1" ref="H12" ca="1">IF(COUNTIFS(Listing!$A$2:$A$1000, Calendar!$L$5, Listing!$C$2:$C$1000, "&gt;=" &amp; H11, Listing!$C$2:$C$1000, "&lt;" &amp; H11 + 1) &gt; 1,
COUNTIFS(Listing!$A$2:$A$1000, Calendar!$L$5, Listing!$C$2:$C$1000, "&gt;=" &amp; H11, Listing!$C$2:$C$1000, "&lt;" &amp; H11 + 1),
IFERROR(INDEX(Listing!$B$2:$B$1000,MATCH(1, (Calendar!$L$5=Listing!$A$2:$A$1000) * (H11 = FLOOR(Listing!$C$2:$C$1000, 1)),0)),""))</f>
        <v/>
      </c>
      <c r="I12" s="16" t="str">
        <f t="array" aca="1" ref="I12" ca="1">IF(COUNTIFS(Listing!$A$2:$A$1000, Calendar!$L$5, Listing!$C$2:$C$1000, "&gt;=" &amp; I11, Listing!$C$2:$C$1000, "&lt;" &amp; I11 + 1) &gt; 1,
COUNTIFS(Listing!$A$2:$A$1000, Calendar!$L$5, Listing!$C$2:$C$1000, "&gt;=" &amp; I11, Listing!$C$2:$C$1000, "&lt;" &amp; I11 + 1),
IFERROR(INDEX(Listing!$B$2:$B$1000,MATCH(1, (Calendar!$L$5=Listing!$A$2:$A$1000) * (I11 = FLOOR(Listing!$C$2:$C$1000, 1)),0)),""))</f>
        <v>Delbert Dosch</v>
      </c>
      <c r="J12" s="6" t="s">
        <v>0</v>
      </c>
      <c r="K12" s="35"/>
      <c r="L12" s="41" t="s">
        <v>233</v>
      </c>
      <c r="N12" s="37"/>
    </row>
    <row r="13" spans="2:14" ht="16.8" customHeight="1">
      <c r="B13" s="24"/>
      <c r="C13" s="16" t="str">
        <f t="array" aca="1" ref="C13" ca="1">IF(COUNTIFS(Listing!$A$2:$A$1000, Calendar!$L$6, Listing!$C$2:$C$1000, "&gt;=" &amp; C11, Listing!$C$2:$C$1000, "&lt;" &amp; C11 + 1) &gt; 1,
COUNTIFS(Listing!$A$2:$A$1000, Calendar!$L$6, Listing!$C$2:$C$1000, "&gt;=" &amp; C11, Listing!$C$2:$C$1000, "&lt;" &amp; C11 + 1),
IFERROR(INDEX(Listing!$B$2:$B$1000,MATCH(1, (Calendar!$L$6=Listing!$A$2:$A$1000) * (C11 = FLOOR(Listing!$C$2:$C$1000,1)),0)),""))</f>
        <v/>
      </c>
      <c r="D13" s="16">
        <f t="array" aca="1" ref="D13" ca="1">IF(COUNTIFS(Listing!$A$2:$A$1000, Calendar!$L$6, Listing!$C$2:$C$1000, "&gt;=" &amp; D11, Listing!$C$2:$C$1000, "&lt;" &amp; D11 + 1) &gt; 1,
COUNTIFS(Listing!$A$2:$A$1000, Calendar!$L$6, Listing!$C$2:$C$1000, "&gt;=" &amp; D11, Listing!$C$2:$C$1000, "&lt;" &amp; D11 + 1),
IFERROR(INDEX(Listing!$B$2:$B$1000,MATCH(1, (Calendar!$L$6=Listing!$A$2:$A$1000) * (D11 = FLOOR(Listing!$C$2:$C$1000,1)),0)),""))</f>
        <v>2</v>
      </c>
      <c r="E13" s="16" t="str">
        <f t="array" aca="1" ref="E13" ca="1">IF(COUNTIFS(Listing!$A$2:$A$1000, Calendar!$L$6, Listing!$C$2:$C$1000, "&gt;=" &amp; E11, Listing!$C$2:$C$1000, "&lt;" &amp; E11 + 1) &gt; 1,
COUNTIFS(Listing!$A$2:$A$1000, Calendar!$L$6, Listing!$C$2:$C$1000, "&gt;=" &amp; E11, Listing!$C$2:$C$1000, "&lt;" &amp; E11 + 1),
IFERROR(INDEX(Listing!$B$2:$B$1000,MATCH(1, (Calendar!$L$6=Listing!$A$2:$A$1000) * (E11 = FLOOR(Listing!$C$2:$C$1000,1)),0)),""))</f>
        <v>Kemberly Kulp</v>
      </c>
      <c r="F13" s="16" t="str">
        <f t="array" aca="1" ref="F13" ca="1">IF(COUNTIFS(Listing!$A$2:$A$1000, Calendar!$L$6, Listing!$C$2:$C$1000, "&gt;=" &amp; F11, Listing!$C$2:$C$1000, "&lt;" &amp; F11 + 1) &gt; 1,
COUNTIFS(Listing!$A$2:$A$1000, Calendar!$L$6, Listing!$C$2:$C$1000, "&gt;=" &amp; F11, Listing!$C$2:$C$1000, "&lt;" &amp; F11 + 1),
IFERROR(INDEX(Listing!$B$2:$B$1000,MATCH(1, (Calendar!$L$6=Listing!$A$2:$A$1000) * (F11 = FLOOR(Listing!$C$2:$C$1000,1)),0)),""))</f>
        <v/>
      </c>
      <c r="G13" s="16" t="str">
        <f t="array" aca="1" ref="G13" ca="1">IF(COUNTIFS(Listing!$A$2:$A$1000, Calendar!$L$6, Listing!$C$2:$C$1000, "&gt;=" &amp; G11, Listing!$C$2:$C$1000, "&lt;" &amp; G11 + 1) &gt; 1,
COUNTIFS(Listing!$A$2:$A$1000, Calendar!$L$6, Listing!$C$2:$C$1000, "&gt;=" &amp; G11, Listing!$C$2:$C$1000, "&lt;" &amp; G11 + 1),
IFERROR(INDEX(Listing!$B$2:$B$1000,MATCH(1, (Calendar!$L$6=Listing!$A$2:$A$1000) * (G11 = FLOOR(Listing!$C$2:$C$1000,1)),0)),""))</f>
        <v>Latonia Luong</v>
      </c>
      <c r="H13" s="16" t="str">
        <f t="array" aca="1" ref="H13" ca="1">IF(COUNTIFS(Listing!$A$2:$A$1000, Calendar!$L$6, Listing!$C$2:$C$1000, "&gt;=" &amp; H11, Listing!$C$2:$C$1000, "&lt;" &amp; H11 + 1) &gt; 1,
COUNTIFS(Listing!$A$2:$A$1000, Calendar!$L$6, Listing!$C$2:$C$1000, "&gt;=" &amp; H11, Listing!$C$2:$C$1000, "&lt;" &amp; H11 + 1),
IFERROR(INDEX(Listing!$B$2:$B$1000,MATCH(1, (Calendar!$L$6=Listing!$A$2:$A$1000) * (H11 = FLOOR(Listing!$C$2:$C$1000,1)),0)),""))</f>
        <v/>
      </c>
      <c r="I13" s="16" t="str">
        <f t="array" aca="1" ref="I13" ca="1">IF(COUNTIFS(Listing!$A$2:$A$1000, Calendar!$L$6, Listing!$C$2:$C$1000, "&gt;=" &amp; I11, Listing!$C$2:$C$1000, "&lt;" &amp; I11 + 1) &gt; 1,
COUNTIFS(Listing!$A$2:$A$1000, Calendar!$L$6, Listing!$C$2:$C$1000, "&gt;=" &amp; I11, Listing!$C$2:$C$1000, "&lt;" &amp; I11 + 1),
IFERROR(INDEX(Listing!$B$2:$B$1000,MATCH(1, (Calendar!$L$6=Listing!$A$2:$A$1000) * (I11 = FLOOR(Listing!$C$2:$C$1000,1)),0)),""))</f>
        <v/>
      </c>
      <c r="J13" s="6" t="s">
        <v>0</v>
      </c>
      <c r="K13" s="44">
        <v>0.29166666666666669</v>
      </c>
      <c r="L13" s="32"/>
      <c r="N13" s="37"/>
    </row>
    <row r="14" spans="2:14" ht="16.8" customHeight="1">
      <c r="B14" s="24"/>
      <c r="C14" s="16" t="str">
        <f t="array" aca="1" ref="C14" ca="1">IF(COUNTIFS(Listing!$A$2:$A$1000, Calendar!$L$7, Listing!$C$2:$C$1000, "&gt;=" &amp; C11, Listing!$C$2:$C$1000, "&lt;" &amp; C11 + 1) &gt; 1,
COUNTIFS(Listing!$A$2:$A$1000, Calendar!$L$7, Listing!$C$2:$C$1000, "&gt;=" &amp; C11, Listing!$C$2:$C$1000, "&lt;" &amp; C11 + 1),
IFERROR(INDEX(Listing!$B$2:$B$1000,MATCH(1, (Calendar!$L$7=Listing!$A$2:$A$1000) * (C11 = FLOOR(Listing!$C$2:$C$1000,1)),0)),""))</f>
        <v/>
      </c>
      <c r="D14" s="16" t="str">
        <f t="array" aca="1" ref="D14" ca="1">IF(COUNTIFS(Listing!$A$2:$A$1000, Calendar!$L$7, Listing!$C$2:$C$1000, "&gt;=" &amp; D11, Listing!$C$2:$C$1000, "&lt;" &amp; D11 + 1) &gt; 1,
COUNTIFS(Listing!$A$2:$A$1000, Calendar!$L$7, Listing!$C$2:$C$1000, "&gt;=" &amp; D11, Listing!$C$2:$C$1000, "&lt;" &amp; D11 + 1),
IFERROR(INDEX(Listing!$B$2:$B$1000,MATCH(1, (Calendar!$L$7=Listing!$A$2:$A$1000) * (D11 = FLOOR(Listing!$C$2:$C$1000,1)),0)),""))</f>
        <v/>
      </c>
      <c r="E14" s="16" t="str">
        <f t="array" aca="1" ref="E14" ca="1">IF(COUNTIFS(Listing!$A$2:$A$1000, Calendar!$L$7, Listing!$C$2:$C$1000, "&gt;=" &amp; E11, Listing!$C$2:$C$1000, "&lt;" &amp; E11 + 1) &gt; 1,
COUNTIFS(Listing!$A$2:$A$1000, Calendar!$L$7, Listing!$C$2:$C$1000, "&gt;=" &amp; E11, Listing!$C$2:$C$1000, "&lt;" &amp; E11 + 1),
IFERROR(INDEX(Listing!$B$2:$B$1000,MATCH(1, (Calendar!$L$7=Listing!$A$2:$A$1000) * (E11 = FLOOR(Listing!$C$2:$C$1000,1)),0)),""))</f>
        <v/>
      </c>
      <c r="F14" s="16" t="str">
        <f t="array" aca="1" ref="F14" ca="1">IF(COUNTIFS(Listing!$A$2:$A$1000, Calendar!$L$7, Listing!$C$2:$C$1000, "&gt;=" &amp; F11, Listing!$C$2:$C$1000, "&lt;" &amp; F11 + 1) &gt; 1,
COUNTIFS(Listing!$A$2:$A$1000, Calendar!$L$7, Listing!$C$2:$C$1000, "&gt;=" &amp; F11, Listing!$C$2:$C$1000, "&lt;" &amp; F11 + 1),
IFERROR(INDEX(Listing!$B$2:$B$1000,MATCH(1, (Calendar!$L$7=Listing!$A$2:$A$1000) * (F11 = FLOOR(Listing!$C$2:$C$1000,1)),0)),""))</f>
        <v>Edgardo Elsea</v>
      </c>
      <c r="G14" s="16" t="str">
        <f t="array" aca="1" ref="G14" ca="1">IF(COUNTIFS(Listing!$A$2:$A$1000, Calendar!$L$7, Listing!$C$2:$C$1000, "&gt;=" &amp; G11, Listing!$C$2:$C$1000, "&lt;" &amp; G11 + 1) &gt; 1,
COUNTIFS(Listing!$A$2:$A$1000, Calendar!$L$7, Listing!$C$2:$C$1000, "&gt;=" &amp; G11, Listing!$C$2:$C$1000, "&lt;" &amp; G11 + 1),
IFERROR(INDEX(Listing!$B$2:$B$1000,MATCH(1, (Calendar!$L$7=Listing!$A$2:$A$1000) * (G11 = FLOOR(Listing!$C$2:$C$1000,1)),0)),""))</f>
        <v>Delpha Dehn</v>
      </c>
      <c r="H14" s="16">
        <f t="array" aca="1" ref="H14" ca="1">IF(COUNTIFS(Listing!$A$2:$A$1000, Calendar!$L$7, Listing!$C$2:$C$1000, "&gt;=" &amp; H11, Listing!$C$2:$C$1000, "&lt;" &amp; H11 + 1) &gt; 1,
COUNTIFS(Listing!$A$2:$A$1000, Calendar!$L$7, Listing!$C$2:$C$1000, "&gt;=" &amp; H11, Listing!$C$2:$C$1000, "&lt;" &amp; H11 + 1),
IFERROR(INDEX(Listing!$B$2:$B$1000,MATCH(1, (Calendar!$L$7=Listing!$A$2:$A$1000) * (H11 = FLOOR(Listing!$C$2:$C$1000,1)),0)),""))</f>
        <v>2</v>
      </c>
      <c r="I14" s="16" t="str">
        <f t="array" aca="1" ref="I14" ca="1">IF(COUNTIFS(Listing!$A$2:$A$1000, Calendar!$L$7, Listing!$C$2:$C$1000, "&gt;=" &amp; I11, Listing!$C$2:$C$1000, "&lt;" &amp; I11 + 1) &gt; 1,
COUNTIFS(Listing!$A$2:$A$1000, Calendar!$L$7, Listing!$C$2:$C$1000, "&gt;=" &amp; I11, Listing!$C$2:$C$1000, "&lt;" &amp; I11 + 1),
IFERROR(INDEX(Listing!$B$2:$B$1000,MATCH(1, (Calendar!$L$7=Listing!$A$2:$A$1000) * (I11 = FLOOR(Listing!$C$2:$C$1000,1)),0)),""))</f>
        <v/>
      </c>
      <c r="J14" s="6" t="s">
        <v>0</v>
      </c>
      <c r="K14" s="39">
        <v>0.3125</v>
      </c>
      <c r="L14" s="33"/>
      <c r="N14" s="37"/>
    </row>
    <row r="15" spans="2:14" ht="16.8" customHeight="1">
      <c r="B15" s="24"/>
      <c r="C15" s="16" t="str">
        <f t="array" aca="1" ref="C15" ca="1">IF(COUNTIFS(Listing!$A$2:$A$1000, Calendar!$L$8, Listing!$C$2:$C$1000, "&gt;=" &amp; C11, Listing!$C$2:$C$1000, "&lt;" &amp; C11 + 1) &gt; 1,
COUNTIFS(Listing!$A$2:$A$1000, Calendar!$L$8, Listing!$C$2:$C$1000, "&gt;=" &amp; C11, Listing!$C$2:$C$1000, "&lt;" &amp; C11 + 1),
IFERROR(INDEX(Listing!$B$2:$B$1000,MATCH(1, (Calendar!$L$8=Listing!$A$2:$A$1000) * (C11 = FLOOR(Listing!$C$2:$C$1000,1)),0)),""))</f>
        <v/>
      </c>
      <c r="D15" s="16" t="str">
        <f t="array" aca="1" ref="D15" ca="1">IF(COUNTIFS(Listing!$A$2:$A$1000, Calendar!$L$8, Listing!$C$2:$C$1000, "&gt;=" &amp; D11, Listing!$C$2:$C$1000, "&lt;" &amp; D11 + 1) &gt; 1,
COUNTIFS(Listing!$A$2:$A$1000, Calendar!$L$8, Listing!$C$2:$C$1000, "&gt;=" &amp; D11, Listing!$C$2:$C$1000, "&lt;" &amp; D11 + 1),
IFERROR(INDEX(Listing!$B$2:$B$1000,MATCH(1, (Calendar!$L$8=Listing!$A$2:$A$1000) * (D11 = FLOOR(Listing!$C$2:$C$1000,1)),0)),""))</f>
        <v/>
      </c>
      <c r="E15" s="16" t="str">
        <f t="array" aca="1" ref="E15" ca="1">IF(COUNTIFS(Listing!$A$2:$A$1000, Calendar!$L$8, Listing!$C$2:$C$1000, "&gt;=" &amp; E11, Listing!$C$2:$C$1000, "&lt;" &amp; E11 + 1) &gt; 1,
COUNTIFS(Listing!$A$2:$A$1000, Calendar!$L$8, Listing!$C$2:$C$1000, "&gt;=" &amp; E11, Listing!$C$2:$C$1000, "&lt;" &amp; E11 + 1),
IFERROR(INDEX(Listing!$B$2:$B$1000,MATCH(1, (Calendar!$L$8=Listing!$A$2:$A$1000) * (E11 = FLOOR(Listing!$C$2:$C$1000,1)),0)),""))</f>
        <v/>
      </c>
      <c r="F15" s="16" t="str">
        <f t="array" aca="1" ref="F15" ca="1">IF(COUNTIFS(Listing!$A$2:$A$1000, Calendar!$L$8, Listing!$C$2:$C$1000, "&gt;=" &amp; F11, Listing!$C$2:$C$1000, "&lt;" &amp; F11 + 1) &gt; 1,
COUNTIFS(Listing!$A$2:$A$1000, Calendar!$L$8, Listing!$C$2:$C$1000, "&gt;=" &amp; F11, Listing!$C$2:$C$1000, "&lt;" &amp; F11 + 1),
IFERROR(INDEX(Listing!$B$2:$B$1000,MATCH(1, (Calendar!$L$8=Listing!$A$2:$A$1000) * (F11 = FLOOR(Listing!$C$2:$C$1000,1)),0)),""))</f>
        <v/>
      </c>
      <c r="G15" s="16">
        <f t="array" aca="1" ref="G15" ca="1">IF(COUNTIFS(Listing!$A$2:$A$1000, Calendar!$L$8, Listing!$C$2:$C$1000, "&gt;=" &amp; G11, Listing!$C$2:$C$1000, "&lt;" &amp; G11 + 1) &gt; 1,
COUNTIFS(Listing!$A$2:$A$1000, Calendar!$L$8, Listing!$C$2:$C$1000, "&gt;=" &amp; G11, Listing!$C$2:$C$1000, "&lt;" &amp; G11 + 1),
IFERROR(INDEX(Listing!$B$2:$B$1000,MATCH(1, (Calendar!$L$8=Listing!$A$2:$A$1000) * (G11 = FLOOR(Listing!$C$2:$C$1000,1)),0)),""))</f>
        <v>2</v>
      </c>
      <c r="H15" s="16" t="str">
        <f t="array" aca="1" ref="H15" ca="1">IF(COUNTIFS(Listing!$A$2:$A$1000, Calendar!$L$8, Listing!$C$2:$C$1000, "&gt;=" &amp; H11, Listing!$C$2:$C$1000, "&lt;" &amp; H11 + 1) &gt; 1,
COUNTIFS(Listing!$A$2:$A$1000, Calendar!$L$8, Listing!$C$2:$C$1000, "&gt;=" &amp; H11, Listing!$C$2:$C$1000, "&lt;" &amp; H11 + 1),
IFERROR(INDEX(Listing!$B$2:$B$1000,MATCH(1, (Calendar!$L$8=Listing!$A$2:$A$1000) * (H11 = FLOOR(Listing!$C$2:$C$1000,1)),0)),""))</f>
        <v/>
      </c>
      <c r="I15" s="16" t="str">
        <f t="array" aca="1" ref="I15" ca="1">IF(COUNTIFS(Listing!$A$2:$A$1000, Calendar!$L$8, Listing!$C$2:$C$1000, "&gt;=" &amp; I11, Listing!$C$2:$C$1000, "&lt;" &amp; I11 + 1) &gt; 1,
COUNTIFS(Listing!$A$2:$A$1000, Calendar!$L$8, Listing!$C$2:$C$1000, "&gt;=" &amp; I11, Listing!$C$2:$C$1000, "&lt;" &amp; I11 + 1),
IFERROR(INDEX(Listing!$B$2:$B$1000,MATCH(1, (Calendar!$L$8=Listing!$A$2:$A$1000) * (I11 = FLOOR(Listing!$C$2:$C$1000,1)),0)),""))</f>
        <v>Cedric Cowen</v>
      </c>
      <c r="J15" s="6" t="s">
        <v>0</v>
      </c>
      <c r="K15" s="39">
        <v>0.33333333333333331</v>
      </c>
      <c r="L15" s="33"/>
      <c r="N15" s="37"/>
    </row>
    <row r="16" spans="2:14" ht="16.8" customHeight="1">
      <c r="B16" s="25"/>
      <c r="C16" s="16" t="str">
        <f t="array" aca="1" ref="C16" ca="1">IF(COUNTIFS(Listing!$A$2:$A$1000, Calendar!$L$9, Listing!$C$2:$C$1000, "&gt;=" &amp; C11, Listing!$C$2:$C$1000, "&lt;" &amp; C11 + 1) &gt; 1,
COUNTIFS(Listing!$A$2:$A$1000, Calendar!$L$9, Listing!$C$2:$C$1000, "&gt;=" &amp; C11, Listing!$C$2:$C$1000, "&lt;" &amp; C11 + 1),
IFERROR(INDEX(Listing!$B$2:$B$1000,MATCH(1, (Calendar!$L$9=Listing!$A$2:$A$1000) * (C11 = FLOOR(Listing!$C$2:$C$1000,1)),0)),""))</f>
        <v/>
      </c>
      <c r="D16" s="16">
        <f t="array" aca="1" ref="D16" ca="1">IF(COUNTIFS(Listing!$A$2:$A$1000, Calendar!$L$9, Listing!$C$2:$C$1000, "&gt;=" &amp; D11, Listing!$C$2:$C$1000, "&lt;" &amp; D11 + 1) &gt; 1,
COUNTIFS(Listing!$A$2:$A$1000, Calendar!$L$9, Listing!$C$2:$C$1000, "&gt;=" &amp; D11, Listing!$C$2:$C$1000, "&lt;" &amp; D11 + 1),
IFERROR(INDEX(Listing!$B$2:$B$1000,MATCH(1, (Calendar!$L$9=Listing!$A$2:$A$1000) * (D11 = FLOOR(Listing!$C$2:$C$1000,1)),0)),""))</f>
        <v>2</v>
      </c>
      <c r="E16" s="16">
        <f t="array" aca="1" ref="E16" ca="1">IF(COUNTIFS(Listing!$A$2:$A$1000, Calendar!$L$9, Listing!$C$2:$C$1000, "&gt;=" &amp; E11, Listing!$C$2:$C$1000, "&lt;" &amp; E11 + 1) &gt; 1,
COUNTIFS(Listing!$A$2:$A$1000, Calendar!$L$9, Listing!$C$2:$C$1000, "&gt;=" &amp; E11, Listing!$C$2:$C$1000, "&lt;" &amp; E11 + 1),
IFERROR(INDEX(Listing!$B$2:$B$1000,MATCH(1, (Calendar!$L$9=Listing!$A$2:$A$1000) * (E11 = FLOOR(Listing!$C$2:$C$1000,1)),0)),""))</f>
        <v>2</v>
      </c>
      <c r="F16" s="16">
        <f t="array" aca="1" ref="F16" ca="1">IF(COUNTIFS(Listing!$A$2:$A$1000, Calendar!$L$9, Listing!$C$2:$C$1000, "&gt;=" &amp; F11, Listing!$C$2:$C$1000, "&lt;" &amp; F11 + 1) &gt; 1,
COUNTIFS(Listing!$A$2:$A$1000, Calendar!$L$9, Listing!$C$2:$C$1000, "&gt;=" &amp; F11, Listing!$C$2:$C$1000, "&lt;" &amp; F11 + 1),
IFERROR(INDEX(Listing!$B$2:$B$1000,MATCH(1, (Calendar!$L$9=Listing!$A$2:$A$1000) * (F11 = FLOOR(Listing!$C$2:$C$1000,1)),0)),""))</f>
        <v>5</v>
      </c>
      <c r="G16" s="16" t="str">
        <f t="array" aca="1" ref="G16" ca="1">IF(COUNTIFS(Listing!$A$2:$A$1000, Calendar!$L$9, Listing!$C$2:$C$1000, "&gt;=" &amp; G11, Listing!$C$2:$C$1000, "&lt;" &amp; G11 + 1) &gt; 1,
COUNTIFS(Listing!$A$2:$A$1000, Calendar!$L$9, Listing!$C$2:$C$1000, "&gt;=" &amp; G11, Listing!$C$2:$C$1000, "&lt;" &amp; G11 + 1),
IFERROR(INDEX(Listing!$B$2:$B$1000,MATCH(1, (Calendar!$L$9=Listing!$A$2:$A$1000) * (G11 = FLOOR(Listing!$C$2:$C$1000,1)),0)),""))</f>
        <v/>
      </c>
      <c r="H16" s="16" t="str">
        <f t="array" aca="1" ref="H16" ca="1">IF(COUNTIFS(Listing!$A$2:$A$1000, Calendar!$L$9, Listing!$C$2:$C$1000, "&gt;=" &amp; H11, Listing!$C$2:$C$1000, "&lt;" &amp; H11 + 1) &gt; 1,
COUNTIFS(Listing!$A$2:$A$1000, Calendar!$L$9, Listing!$C$2:$C$1000, "&gt;=" &amp; H11, Listing!$C$2:$C$1000, "&lt;" &amp; H11 + 1),
IFERROR(INDEX(Listing!$B$2:$B$1000,MATCH(1, (Calendar!$L$9=Listing!$A$2:$A$1000) * (H11 = FLOOR(Listing!$C$2:$C$1000,1)),0)),""))</f>
        <v>Sherise Saur</v>
      </c>
      <c r="I16" s="16" t="str">
        <f t="array" aca="1" ref="I16" ca="1">IF(COUNTIFS(Listing!$A$2:$A$1000, Calendar!$L$9, Listing!$C$2:$C$1000, "&gt;=" &amp; I11, Listing!$C$2:$C$1000, "&lt;" &amp; I11 + 1) &gt; 1,
COUNTIFS(Listing!$A$2:$A$1000, Calendar!$L$9, Listing!$C$2:$C$1000, "&gt;=" &amp; I11, Listing!$C$2:$C$1000, "&lt;" &amp; I11 + 1),
IFERROR(INDEX(Listing!$B$2:$B$1000,MATCH(1, (Calendar!$L$9=Listing!$A$2:$A$1000) * (I11 = FLOOR(Listing!$C$2:$C$1000,1)),0)),""))</f>
        <v/>
      </c>
      <c r="J16" s="6" t="s">
        <v>0</v>
      </c>
      <c r="K16" s="39">
        <v>0.35416666666666669</v>
      </c>
      <c r="L16" s="33"/>
      <c r="N16" s="37"/>
    </row>
    <row r="17" spans="2:14" ht="16.8" customHeight="1">
      <c r="B17" s="25"/>
      <c r="C17" s="17"/>
      <c r="D17" s="17"/>
      <c r="E17" s="17"/>
      <c r="F17" s="17"/>
      <c r="G17" s="17"/>
      <c r="H17" s="17"/>
      <c r="I17" s="17"/>
      <c r="J17" s="6" t="s">
        <v>0</v>
      </c>
      <c r="K17" s="39">
        <v>0.375</v>
      </c>
      <c r="L17" s="33"/>
      <c r="N17" s="37"/>
    </row>
    <row r="18" spans="2:14" ht="16.8" customHeight="1">
      <c r="B18" s="24">
        <f ca="1">B11+1</f>
        <v>20</v>
      </c>
      <c r="C18" s="11">
        <f t="shared" ref="C18:I18" ca="1" si="2">DATE(YEAR($C$1),1,1)-WEEKDAY(DATE(YEAR($C$1),1,1),1)+($B18-1)*7+C$3</f>
        <v>42869</v>
      </c>
      <c r="D18" s="12">
        <f t="shared" ca="1" si="2"/>
        <v>42870</v>
      </c>
      <c r="E18" s="12">
        <f t="shared" ca="1" si="2"/>
        <v>42871</v>
      </c>
      <c r="F18" s="12">
        <f t="shared" ca="1" si="2"/>
        <v>42872</v>
      </c>
      <c r="G18" s="13">
        <f t="shared" ca="1" si="2"/>
        <v>42873</v>
      </c>
      <c r="H18" s="14">
        <f t="shared" ca="1" si="2"/>
        <v>42874</v>
      </c>
      <c r="I18" s="15">
        <f t="shared" ca="1" si="2"/>
        <v>42875</v>
      </c>
      <c r="J18" s="6" t="s">
        <v>0</v>
      </c>
      <c r="K18" s="39">
        <v>0.39583333333333331</v>
      </c>
      <c r="L18" s="33"/>
      <c r="N18" s="37"/>
    </row>
    <row r="19" spans="2:14" ht="16.8" customHeight="1">
      <c r="B19" s="24"/>
      <c r="C19" s="16" t="str">
        <f t="array" aca="1" ref="C19" ca="1">IF(COUNTIFS(Listing!$A$2:$A$1000, Calendar!$L$5, Listing!$C$2:$C$1000, "&gt;=" &amp; C18, Listing!$C$2:$C$1000, "&lt;" &amp; C18 + 1) &gt; 1,
COUNTIFS(Listing!$A$2:$A$1000, Calendar!$L$5, Listing!$C$2:$C$1000, "&gt;=" &amp; C18, Listing!$C$2:$C$1000, "&lt;" &amp; C18 + 1),
IFERROR(INDEX(Listing!$B$2:$B$1000,MATCH(1, (Calendar!$L$5=Listing!$A$2:$A$1000) * (C18 = FLOOR(Listing!$C$2:$C$1000, 1)),0)),""))</f>
        <v>Joel Jolicoeur</v>
      </c>
      <c r="D19" s="16">
        <f t="array" aca="1" ref="D19" ca="1">IF(COUNTIFS(Listing!$A$2:$A$1000, Calendar!$L$5, Listing!$C$2:$C$1000, "&gt;=" &amp; D18, Listing!$C$2:$C$1000, "&lt;" &amp; D18 + 1) &gt; 1,
COUNTIFS(Listing!$A$2:$A$1000, Calendar!$L$5, Listing!$C$2:$C$1000, "&gt;=" &amp; D18, Listing!$C$2:$C$1000, "&lt;" &amp; D18 + 1),
IFERROR(INDEX(Listing!$B$2:$B$1000,MATCH(1, (Calendar!$L$5=Listing!$A$2:$A$1000) * (D18 = FLOOR(Listing!$C$2:$C$1000, 1)),0)),""))</f>
        <v>2</v>
      </c>
      <c r="E19" s="16">
        <f t="array" aca="1" ref="E19" ca="1">IF(COUNTIFS(Listing!$A$2:$A$1000, Calendar!$L$5, Listing!$C$2:$C$1000, "&gt;=" &amp; E18, Listing!$C$2:$C$1000, "&lt;" &amp; E18 + 1) &gt; 1,
COUNTIFS(Listing!$A$2:$A$1000, Calendar!$L$5, Listing!$C$2:$C$1000, "&gt;=" &amp; E18, Listing!$C$2:$C$1000, "&lt;" &amp; E18 + 1),
IFERROR(INDEX(Listing!$B$2:$B$1000,MATCH(1, (Calendar!$L$5=Listing!$A$2:$A$1000) * (E18 = FLOOR(Listing!$C$2:$C$1000, 1)),0)),""))</f>
        <v>2</v>
      </c>
      <c r="F19" s="16" t="str">
        <f t="array" aca="1" ref="F19" ca="1">IF(COUNTIFS(Listing!$A$2:$A$1000, Calendar!$L$5, Listing!$C$2:$C$1000, "&gt;=" &amp; F18, Listing!$C$2:$C$1000, "&lt;" &amp; F18 + 1) &gt; 1,
COUNTIFS(Listing!$A$2:$A$1000, Calendar!$L$5, Listing!$C$2:$C$1000, "&gt;=" &amp; F18, Listing!$C$2:$C$1000, "&lt;" &amp; F18 + 1),
IFERROR(INDEX(Listing!$B$2:$B$1000,MATCH(1, (Calendar!$L$5=Listing!$A$2:$A$1000) * (F18 = FLOOR(Listing!$C$2:$C$1000, 1)),0)),""))</f>
        <v/>
      </c>
      <c r="G19" s="16" t="str">
        <f t="array" aca="1" ref="G19" ca="1">IF(COUNTIFS(Listing!$A$2:$A$1000, Calendar!$L$5, Listing!$C$2:$C$1000, "&gt;=" &amp; G18, Listing!$C$2:$C$1000, "&lt;" &amp; G18 + 1) &gt; 1,
COUNTIFS(Listing!$A$2:$A$1000, Calendar!$L$5, Listing!$C$2:$C$1000, "&gt;=" &amp; G18, Listing!$C$2:$C$1000, "&lt;" &amp; G18 + 1),
IFERROR(INDEX(Listing!$B$2:$B$1000,MATCH(1, (Calendar!$L$5=Listing!$A$2:$A$1000) * (G18 = FLOOR(Listing!$C$2:$C$1000, 1)),0)),""))</f>
        <v/>
      </c>
      <c r="H19" s="16" t="str">
        <f t="array" aca="1" ref="H19" ca="1">IF(COUNTIFS(Listing!$A$2:$A$1000, Calendar!$L$5, Listing!$C$2:$C$1000, "&gt;=" &amp; H18, Listing!$C$2:$C$1000, "&lt;" &amp; H18 + 1) &gt; 1,
COUNTIFS(Listing!$A$2:$A$1000, Calendar!$L$5, Listing!$C$2:$C$1000, "&gt;=" &amp; H18, Listing!$C$2:$C$1000, "&lt;" &amp; H18 + 1),
IFERROR(INDEX(Listing!$B$2:$B$1000,MATCH(1, (Calendar!$L$5=Listing!$A$2:$A$1000) * (H18 = FLOOR(Listing!$C$2:$C$1000, 1)),0)),""))</f>
        <v>Misty Mallow</v>
      </c>
      <c r="I19" s="16" t="str">
        <f t="array" aca="1" ref="I19" ca="1">IF(COUNTIFS(Listing!$A$2:$A$1000, Calendar!$L$5, Listing!$C$2:$C$1000, "&gt;=" &amp; I18, Listing!$C$2:$C$1000, "&lt;" &amp; I18 + 1) &gt; 1,
COUNTIFS(Listing!$A$2:$A$1000, Calendar!$L$5, Listing!$C$2:$C$1000, "&gt;=" &amp; I18, Listing!$C$2:$C$1000, "&lt;" &amp; I18 + 1),
IFERROR(INDEX(Listing!$B$2:$B$1000,MATCH(1, (Calendar!$L$5=Listing!$A$2:$A$1000) * (I18 = FLOOR(Listing!$C$2:$C$1000, 1)),0)),""))</f>
        <v>Milagro Milliron</v>
      </c>
      <c r="J19" s="6" t="s">
        <v>0</v>
      </c>
      <c r="K19" s="39">
        <v>0.41666666666666669</v>
      </c>
      <c r="L19" s="33"/>
      <c r="N19" s="37"/>
    </row>
    <row r="20" spans="2:14" ht="16.8" customHeight="1">
      <c r="B20" s="24"/>
      <c r="C20" s="16">
        <f t="array" aca="1" ref="C20" ca="1">IF(COUNTIFS(Listing!$A$2:$A$1000, Calendar!$L$6, Listing!$C$2:$C$1000, "&gt;=" &amp; C18, Listing!$C$2:$C$1000, "&lt;" &amp; C18 + 1) &gt; 1,
COUNTIFS(Listing!$A$2:$A$1000, Calendar!$L$6, Listing!$C$2:$C$1000, "&gt;=" &amp; C18, Listing!$C$2:$C$1000, "&lt;" &amp; C18 + 1),
IFERROR(INDEX(Listing!$B$2:$B$1000,MATCH(1, (Calendar!$L$6=Listing!$A$2:$A$1000) * (C18 = FLOOR(Listing!$C$2:$C$1000,1)),0)),""))</f>
        <v>2</v>
      </c>
      <c r="D20" s="16" t="str">
        <f t="array" aca="1" ref="D20" ca="1">IF(COUNTIFS(Listing!$A$2:$A$1000, Calendar!$L$6, Listing!$C$2:$C$1000, "&gt;=" &amp; D18, Listing!$C$2:$C$1000, "&lt;" &amp; D18 + 1) &gt; 1,
COUNTIFS(Listing!$A$2:$A$1000, Calendar!$L$6, Listing!$C$2:$C$1000, "&gt;=" &amp; D18, Listing!$C$2:$C$1000, "&lt;" &amp; D18 + 1),
IFERROR(INDEX(Listing!$B$2:$B$1000,MATCH(1, (Calendar!$L$6=Listing!$A$2:$A$1000) * (D18 = FLOOR(Listing!$C$2:$C$1000,1)),0)),""))</f>
        <v/>
      </c>
      <c r="E20" s="16" t="str">
        <f t="array" aca="1" ref="E20" ca="1">IF(COUNTIFS(Listing!$A$2:$A$1000, Calendar!$L$6, Listing!$C$2:$C$1000, "&gt;=" &amp; E18, Listing!$C$2:$C$1000, "&lt;" &amp; E18 + 1) &gt; 1,
COUNTIFS(Listing!$A$2:$A$1000, Calendar!$L$6, Listing!$C$2:$C$1000, "&gt;=" &amp; E18, Listing!$C$2:$C$1000, "&lt;" &amp; E18 + 1),
IFERROR(INDEX(Listing!$B$2:$B$1000,MATCH(1, (Calendar!$L$6=Listing!$A$2:$A$1000) * (E18 = FLOOR(Listing!$C$2:$C$1000,1)),0)),""))</f>
        <v>Laraine Longworth</v>
      </c>
      <c r="F20" s="16" t="str">
        <f t="array" aca="1" ref="F20" ca="1">IF(COUNTIFS(Listing!$A$2:$A$1000, Calendar!$L$6, Listing!$C$2:$C$1000, "&gt;=" &amp; F18, Listing!$C$2:$C$1000, "&lt;" &amp; F18 + 1) &gt; 1,
COUNTIFS(Listing!$A$2:$A$1000, Calendar!$L$6, Listing!$C$2:$C$1000, "&gt;=" &amp; F18, Listing!$C$2:$C$1000, "&lt;" &amp; F18 + 1),
IFERROR(INDEX(Listing!$B$2:$B$1000,MATCH(1, (Calendar!$L$6=Listing!$A$2:$A$1000) * (F18 = FLOOR(Listing!$C$2:$C$1000,1)),0)),""))</f>
        <v>Kemberly Kulp</v>
      </c>
      <c r="G20" s="16" t="str">
        <f t="array" aca="1" ref="G20" ca="1">IF(COUNTIFS(Listing!$A$2:$A$1000, Calendar!$L$6, Listing!$C$2:$C$1000, "&gt;=" &amp; G18, Listing!$C$2:$C$1000, "&lt;" &amp; G18 + 1) &gt; 1,
COUNTIFS(Listing!$A$2:$A$1000, Calendar!$L$6, Listing!$C$2:$C$1000, "&gt;=" &amp; G18, Listing!$C$2:$C$1000, "&lt;" &amp; G18 + 1),
IFERROR(INDEX(Listing!$B$2:$B$1000,MATCH(1, (Calendar!$L$6=Listing!$A$2:$A$1000) * (G18 = FLOOR(Listing!$C$2:$C$1000,1)),0)),""))</f>
        <v/>
      </c>
      <c r="H20" s="16" t="str">
        <f t="array" aca="1" ref="H20" ca="1">IF(COUNTIFS(Listing!$A$2:$A$1000, Calendar!$L$6, Listing!$C$2:$C$1000, "&gt;=" &amp; H18, Listing!$C$2:$C$1000, "&lt;" &amp; H18 + 1) &gt; 1,
COUNTIFS(Listing!$A$2:$A$1000, Calendar!$L$6, Listing!$C$2:$C$1000, "&gt;=" &amp; H18, Listing!$C$2:$C$1000, "&lt;" &amp; H18 + 1),
IFERROR(INDEX(Listing!$B$2:$B$1000,MATCH(1, (Calendar!$L$6=Listing!$A$2:$A$1000) * (H18 = FLOOR(Listing!$C$2:$C$1000,1)),0)),""))</f>
        <v/>
      </c>
      <c r="I20" s="16" t="str">
        <f t="array" aca="1" ref="I20" ca="1">IF(COUNTIFS(Listing!$A$2:$A$1000, Calendar!$L$6, Listing!$C$2:$C$1000, "&gt;=" &amp; I18, Listing!$C$2:$C$1000, "&lt;" &amp; I18 + 1) &gt; 1,
COUNTIFS(Listing!$A$2:$A$1000, Calendar!$L$6, Listing!$C$2:$C$1000, "&gt;=" &amp; I18, Listing!$C$2:$C$1000, "&lt;" &amp; I18 + 1),
IFERROR(INDEX(Listing!$B$2:$B$1000,MATCH(1, (Calendar!$L$6=Listing!$A$2:$A$1000) * (I18 = FLOOR(Listing!$C$2:$C$1000,1)),0)),""))</f>
        <v/>
      </c>
      <c r="J20" s="6" t="s">
        <v>0</v>
      </c>
      <c r="K20" s="39">
        <v>0.4375</v>
      </c>
      <c r="L20" s="33"/>
      <c r="N20" s="37"/>
    </row>
    <row r="21" spans="2:14" ht="16.8" customHeight="1">
      <c r="B21" s="24"/>
      <c r="C21" s="16" t="str">
        <f t="array" aca="1" ref="C21" ca="1">IF(COUNTIFS(Listing!$A$2:$A$1000, Calendar!$L$7, Listing!$C$2:$C$1000, "&gt;=" &amp; C18, Listing!$C$2:$C$1000, "&lt;" &amp; C18 + 1) &gt; 1,
COUNTIFS(Listing!$A$2:$A$1000, Calendar!$L$7, Listing!$C$2:$C$1000, "&gt;=" &amp; C18, Listing!$C$2:$C$1000, "&lt;" &amp; C18 + 1),
IFERROR(INDEX(Listing!$B$2:$B$1000,MATCH(1, (Calendar!$L$7=Listing!$A$2:$A$1000) * (C18 = FLOOR(Listing!$C$2:$C$1000,1)),0)),""))</f>
        <v>Ashlea Abbe</v>
      </c>
      <c r="D21" s="16" t="str">
        <f t="array" aca="1" ref="D21" ca="1">IF(COUNTIFS(Listing!$A$2:$A$1000, Calendar!$L$7, Listing!$C$2:$C$1000, "&gt;=" &amp; D18, Listing!$C$2:$C$1000, "&lt;" &amp; D18 + 1) &gt; 1,
COUNTIFS(Listing!$A$2:$A$1000, Calendar!$L$7, Listing!$C$2:$C$1000, "&gt;=" &amp; D18, Listing!$C$2:$C$1000, "&lt;" &amp; D18 + 1),
IFERROR(INDEX(Listing!$B$2:$B$1000,MATCH(1, (Calendar!$L$7=Listing!$A$2:$A$1000) * (D18 = FLOOR(Listing!$C$2:$C$1000,1)),0)),""))</f>
        <v/>
      </c>
      <c r="E21" s="16" t="str">
        <f t="array" aca="1" ref="E21" ca="1">IF(COUNTIFS(Listing!$A$2:$A$1000, Calendar!$L$7, Listing!$C$2:$C$1000, "&gt;=" &amp; E18, Listing!$C$2:$C$1000, "&lt;" &amp; E18 + 1) &gt; 1,
COUNTIFS(Listing!$A$2:$A$1000, Calendar!$L$7, Listing!$C$2:$C$1000, "&gt;=" &amp; E18, Listing!$C$2:$C$1000, "&lt;" &amp; E18 + 1),
IFERROR(INDEX(Listing!$B$2:$B$1000,MATCH(1, (Calendar!$L$7=Listing!$A$2:$A$1000) * (E18 = FLOOR(Listing!$C$2:$C$1000,1)),0)),""))</f>
        <v/>
      </c>
      <c r="F21" s="16" t="str">
        <f t="array" aca="1" ref="F21" ca="1">IF(COUNTIFS(Listing!$A$2:$A$1000, Calendar!$L$7, Listing!$C$2:$C$1000, "&gt;=" &amp; F18, Listing!$C$2:$C$1000, "&lt;" &amp; F18 + 1) &gt; 1,
COUNTIFS(Listing!$A$2:$A$1000, Calendar!$L$7, Listing!$C$2:$C$1000, "&gt;=" &amp; F18, Listing!$C$2:$C$1000, "&lt;" &amp; F18 + 1),
IFERROR(INDEX(Listing!$B$2:$B$1000,MATCH(1, (Calendar!$L$7=Listing!$A$2:$A$1000) * (F18 = FLOOR(Listing!$C$2:$C$1000,1)),0)),""))</f>
        <v>Gertrud Griffey</v>
      </c>
      <c r="G21" s="16" t="str">
        <f t="array" aca="1" ref="G21" ca="1">IF(COUNTIFS(Listing!$A$2:$A$1000, Calendar!$L$7, Listing!$C$2:$C$1000, "&gt;=" &amp; G18, Listing!$C$2:$C$1000, "&lt;" &amp; G18 + 1) &gt; 1,
COUNTIFS(Listing!$A$2:$A$1000, Calendar!$L$7, Listing!$C$2:$C$1000, "&gt;=" &amp; G18, Listing!$C$2:$C$1000, "&lt;" &amp; G18 + 1),
IFERROR(INDEX(Listing!$B$2:$B$1000,MATCH(1, (Calendar!$L$7=Listing!$A$2:$A$1000) * (G18 = FLOOR(Listing!$C$2:$C$1000,1)),0)),""))</f>
        <v/>
      </c>
      <c r="H21" s="16" t="str">
        <f t="array" aca="1" ref="H21" ca="1">IF(COUNTIFS(Listing!$A$2:$A$1000, Calendar!$L$7, Listing!$C$2:$C$1000, "&gt;=" &amp; H18, Listing!$C$2:$C$1000, "&lt;" &amp; H18 + 1) &gt; 1,
COUNTIFS(Listing!$A$2:$A$1000, Calendar!$L$7, Listing!$C$2:$C$1000, "&gt;=" &amp; H18, Listing!$C$2:$C$1000, "&lt;" &amp; H18 + 1),
IFERROR(INDEX(Listing!$B$2:$B$1000,MATCH(1, (Calendar!$L$7=Listing!$A$2:$A$1000) * (H18 = FLOOR(Listing!$C$2:$C$1000,1)),0)),""))</f>
        <v>Meaghan Maeda</v>
      </c>
      <c r="I21" s="16" t="str">
        <f t="array" aca="1" ref="I21" ca="1">IF(COUNTIFS(Listing!$A$2:$A$1000, Calendar!$L$7, Listing!$C$2:$C$1000, "&gt;=" &amp; I18, Listing!$C$2:$C$1000, "&lt;" &amp; I18 + 1) &gt; 1,
COUNTIFS(Listing!$A$2:$A$1000, Calendar!$L$7, Listing!$C$2:$C$1000, "&gt;=" &amp; I18, Listing!$C$2:$C$1000, "&lt;" &amp; I18 + 1),
IFERROR(INDEX(Listing!$B$2:$B$1000,MATCH(1, (Calendar!$L$7=Listing!$A$2:$A$1000) * (I18 = FLOOR(Listing!$C$2:$C$1000,1)),0)),""))</f>
        <v/>
      </c>
      <c r="J21" s="6" t="s">
        <v>0</v>
      </c>
      <c r="K21" s="39">
        <v>0.45833333333333331</v>
      </c>
      <c r="L21" s="33"/>
      <c r="N21" s="37"/>
    </row>
    <row r="22" spans="2:14" ht="16.8" customHeight="1">
      <c r="B22" s="24"/>
      <c r="C22" s="16">
        <f t="array" aca="1" ref="C22" ca="1">IF(COUNTIFS(Listing!$A$2:$A$1000, Calendar!$L$8, Listing!$C$2:$C$1000, "&gt;=" &amp; C18, Listing!$C$2:$C$1000, "&lt;" &amp; C18 + 1) &gt; 1,
COUNTIFS(Listing!$A$2:$A$1000, Calendar!$L$8, Listing!$C$2:$C$1000, "&gt;=" &amp; C18, Listing!$C$2:$C$1000, "&lt;" &amp; C18 + 1),
IFERROR(INDEX(Listing!$B$2:$B$1000,MATCH(1, (Calendar!$L$8=Listing!$A$2:$A$1000) * (C18 = FLOOR(Listing!$C$2:$C$1000,1)),0)),""))</f>
        <v>2</v>
      </c>
      <c r="D22" s="16" t="str">
        <f t="array" aca="1" ref="D22" ca="1">IF(COUNTIFS(Listing!$A$2:$A$1000, Calendar!$L$8, Listing!$C$2:$C$1000, "&gt;=" &amp; D18, Listing!$C$2:$C$1000, "&lt;" &amp; D18 + 1) &gt; 1,
COUNTIFS(Listing!$A$2:$A$1000, Calendar!$L$8, Listing!$C$2:$C$1000, "&gt;=" &amp; D18, Listing!$C$2:$C$1000, "&lt;" &amp; D18 + 1),
IFERROR(INDEX(Listing!$B$2:$B$1000,MATCH(1, (Calendar!$L$8=Listing!$A$2:$A$1000) * (D18 = FLOOR(Listing!$C$2:$C$1000,1)),0)),""))</f>
        <v/>
      </c>
      <c r="E22" s="16" t="str">
        <f t="array" aca="1" ref="E22" ca="1">IF(COUNTIFS(Listing!$A$2:$A$1000, Calendar!$L$8, Listing!$C$2:$C$1000, "&gt;=" &amp; E18, Listing!$C$2:$C$1000, "&lt;" &amp; E18 + 1) &gt; 1,
COUNTIFS(Listing!$A$2:$A$1000, Calendar!$L$8, Listing!$C$2:$C$1000, "&gt;=" &amp; E18, Listing!$C$2:$C$1000, "&lt;" &amp; E18 + 1),
IFERROR(INDEX(Listing!$B$2:$B$1000,MATCH(1, (Calendar!$L$8=Listing!$A$2:$A$1000) * (E18 = FLOOR(Listing!$C$2:$C$1000,1)),0)),""))</f>
        <v>Alaine Athens</v>
      </c>
      <c r="F22" s="16" t="str">
        <f t="array" aca="1" ref="F22" ca="1">IF(COUNTIFS(Listing!$A$2:$A$1000, Calendar!$L$8, Listing!$C$2:$C$1000, "&gt;=" &amp; F18, Listing!$C$2:$C$1000, "&lt;" &amp; F18 + 1) &gt; 1,
COUNTIFS(Listing!$A$2:$A$1000, Calendar!$L$8, Listing!$C$2:$C$1000, "&gt;=" &amp; F18, Listing!$C$2:$C$1000, "&lt;" &amp; F18 + 1),
IFERROR(INDEX(Listing!$B$2:$B$1000,MATCH(1, (Calendar!$L$8=Listing!$A$2:$A$1000) * (F18 = FLOOR(Listing!$C$2:$C$1000,1)),0)),""))</f>
        <v>Alene Applin</v>
      </c>
      <c r="G22" s="16" t="str">
        <f t="array" aca="1" ref="G22" ca="1">IF(COUNTIFS(Listing!$A$2:$A$1000, Calendar!$L$8, Listing!$C$2:$C$1000, "&gt;=" &amp; G18, Listing!$C$2:$C$1000, "&lt;" &amp; G18 + 1) &gt; 1,
COUNTIFS(Listing!$A$2:$A$1000, Calendar!$L$8, Listing!$C$2:$C$1000, "&gt;=" &amp; G18, Listing!$C$2:$C$1000, "&lt;" &amp; G18 + 1),
IFERROR(INDEX(Listing!$B$2:$B$1000,MATCH(1, (Calendar!$L$8=Listing!$A$2:$A$1000) * (G18 = FLOOR(Listing!$C$2:$C$1000,1)),0)),""))</f>
        <v/>
      </c>
      <c r="H22" s="16" t="str">
        <f t="array" aca="1" ref="H22" ca="1">IF(COUNTIFS(Listing!$A$2:$A$1000, Calendar!$L$8, Listing!$C$2:$C$1000, "&gt;=" &amp; H18, Listing!$C$2:$C$1000, "&lt;" &amp; H18 + 1) &gt; 1,
COUNTIFS(Listing!$A$2:$A$1000, Calendar!$L$8, Listing!$C$2:$C$1000, "&gt;=" &amp; H18, Listing!$C$2:$C$1000, "&lt;" &amp; H18 + 1),
IFERROR(INDEX(Listing!$B$2:$B$1000,MATCH(1, (Calendar!$L$8=Listing!$A$2:$A$1000) * (H18 = FLOOR(Listing!$C$2:$C$1000,1)),0)),""))</f>
        <v>Herman Hauptman</v>
      </c>
      <c r="I22" s="16">
        <f t="array" aca="1" ref="I22" ca="1">IF(COUNTIFS(Listing!$A$2:$A$1000, Calendar!$L$8, Listing!$C$2:$C$1000, "&gt;=" &amp; I18, Listing!$C$2:$C$1000, "&lt;" &amp; I18 + 1) &gt; 1,
COUNTIFS(Listing!$A$2:$A$1000, Calendar!$L$8, Listing!$C$2:$C$1000, "&gt;=" &amp; I18, Listing!$C$2:$C$1000, "&lt;" &amp; I18 + 1),
IFERROR(INDEX(Listing!$B$2:$B$1000,MATCH(1, (Calendar!$L$8=Listing!$A$2:$A$1000) * (I18 = FLOOR(Listing!$C$2:$C$1000,1)),0)),""))</f>
        <v>2</v>
      </c>
      <c r="J22" s="6" t="s">
        <v>0</v>
      </c>
      <c r="K22" s="39">
        <v>0.47916666666666669</v>
      </c>
      <c r="L22" s="33"/>
      <c r="N22" s="37"/>
    </row>
    <row r="23" spans="2:14" ht="16.8" customHeight="1">
      <c r="B23" s="25"/>
      <c r="C23" s="16" t="str">
        <f t="array" aca="1" ref="C23" ca="1">IF(COUNTIFS(Listing!$A$2:$A$1000, Calendar!$L$9, Listing!$C$2:$C$1000, "&gt;=" &amp; C18, Listing!$C$2:$C$1000, "&lt;" &amp; C18 + 1) &gt; 1,
COUNTIFS(Listing!$A$2:$A$1000, Calendar!$L$9, Listing!$C$2:$C$1000, "&gt;=" &amp; C18, Listing!$C$2:$C$1000, "&lt;" &amp; C18 + 1),
IFERROR(INDEX(Listing!$B$2:$B$1000,MATCH(1, (Calendar!$L$9=Listing!$A$2:$A$1000) * (C18 = FLOOR(Listing!$C$2:$C$1000,1)),0)),""))</f>
        <v>Adele Allums</v>
      </c>
      <c r="D23" s="16" t="str">
        <f t="array" aca="1" ref="D23" ca="1">IF(COUNTIFS(Listing!$A$2:$A$1000, Calendar!$L$9, Listing!$C$2:$C$1000, "&gt;=" &amp; D18, Listing!$C$2:$C$1000, "&lt;" &amp; D18 + 1) &gt; 1,
COUNTIFS(Listing!$A$2:$A$1000, Calendar!$L$9, Listing!$C$2:$C$1000, "&gt;=" &amp; D18, Listing!$C$2:$C$1000, "&lt;" &amp; D18 + 1),
IFERROR(INDEX(Listing!$B$2:$B$1000,MATCH(1, (Calendar!$L$9=Listing!$A$2:$A$1000) * (D18 = FLOOR(Listing!$C$2:$C$1000,1)),0)),""))</f>
        <v/>
      </c>
      <c r="E23" s="16">
        <f t="array" aca="1" ref="E23" ca="1">IF(COUNTIFS(Listing!$A$2:$A$1000, Calendar!$L$9, Listing!$C$2:$C$1000, "&gt;=" &amp; E18, Listing!$C$2:$C$1000, "&lt;" &amp; E18 + 1) &gt; 1,
COUNTIFS(Listing!$A$2:$A$1000, Calendar!$L$9, Listing!$C$2:$C$1000, "&gt;=" &amp; E18, Listing!$C$2:$C$1000, "&lt;" &amp; E18 + 1),
IFERROR(INDEX(Listing!$B$2:$B$1000,MATCH(1, (Calendar!$L$9=Listing!$A$2:$A$1000) * (E18 = FLOOR(Listing!$C$2:$C$1000,1)),0)),""))</f>
        <v>2</v>
      </c>
      <c r="F23" s="16" t="str">
        <f t="array" aca="1" ref="F23" ca="1">IF(COUNTIFS(Listing!$A$2:$A$1000, Calendar!$L$9, Listing!$C$2:$C$1000, "&gt;=" &amp; F18, Listing!$C$2:$C$1000, "&lt;" &amp; F18 + 1) &gt; 1,
COUNTIFS(Listing!$A$2:$A$1000, Calendar!$L$9, Listing!$C$2:$C$1000, "&gt;=" &amp; F18, Listing!$C$2:$C$1000, "&lt;" &amp; F18 + 1),
IFERROR(INDEX(Listing!$B$2:$B$1000,MATCH(1, (Calendar!$L$9=Listing!$A$2:$A$1000) * (F18 = FLOOR(Listing!$C$2:$C$1000,1)),0)),""))</f>
        <v/>
      </c>
      <c r="G23" s="16" t="str">
        <f t="array" aca="1" ref="G23" ca="1">IF(COUNTIFS(Listing!$A$2:$A$1000, Calendar!$L$9, Listing!$C$2:$C$1000, "&gt;=" &amp; G18, Listing!$C$2:$C$1000, "&lt;" &amp; G18 + 1) &gt; 1,
COUNTIFS(Listing!$A$2:$A$1000, Calendar!$L$9, Listing!$C$2:$C$1000, "&gt;=" &amp; G18, Listing!$C$2:$C$1000, "&lt;" &amp; G18 + 1),
IFERROR(INDEX(Listing!$B$2:$B$1000,MATCH(1, (Calendar!$L$9=Listing!$A$2:$A$1000) * (G18 = FLOOR(Listing!$C$2:$C$1000,1)),0)),""))</f>
        <v>Katrice Koepsell</v>
      </c>
      <c r="H23" s="16" t="str">
        <f t="array" aca="1" ref="H23" ca="1">IF(COUNTIFS(Listing!$A$2:$A$1000, Calendar!$L$9, Listing!$C$2:$C$1000, "&gt;=" &amp; H18, Listing!$C$2:$C$1000, "&lt;" &amp; H18 + 1) &gt; 1,
COUNTIFS(Listing!$A$2:$A$1000, Calendar!$L$9, Listing!$C$2:$C$1000, "&gt;=" &amp; H18, Listing!$C$2:$C$1000, "&lt;" &amp; H18 + 1),
IFERROR(INDEX(Listing!$B$2:$B$1000,MATCH(1, (Calendar!$L$9=Listing!$A$2:$A$1000) * (H18 = FLOOR(Listing!$C$2:$C$1000,1)),0)),""))</f>
        <v/>
      </c>
      <c r="I23" s="16" t="str">
        <f t="array" aca="1" ref="I23" ca="1">IF(COUNTIFS(Listing!$A$2:$A$1000, Calendar!$L$9, Listing!$C$2:$C$1000, "&gt;=" &amp; I18, Listing!$C$2:$C$1000, "&lt;" &amp; I18 + 1) &gt; 1,
COUNTIFS(Listing!$A$2:$A$1000, Calendar!$L$9, Listing!$C$2:$C$1000, "&gt;=" &amp; I18, Listing!$C$2:$C$1000, "&lt;" &amp; I18 + 1),
IFERROR(INDEX(Listing!$B$2:$B$1000,MATCH(1, (Calendar!$L$9=Listing!$A$2:$A$1000) * (I18 = FLOOR(Listing!$C$2:$C$1000,1)),0)),""))</f>
        <v>Gaylord Geibel</v>
      </c>
      <c r="J23" s="6" t="s">
        <v>0</v>
      </c>
      <c r="K23" s="39">
        <v>0.5</v>
      </c>
      <c r="L23" s="33"/>
      <c r="N23" s="37"/>
    </row>
    <row r="24" spans="2:14" ht="16.8" customHeight="1">
      <c r="B24" s="25"/>
      <c r="C24" s="17"/>
      <c r="D24" s="17"/>
      <c r="E24" s="17"/>
      <c r="F24" s="17"/>
      <c r="G24" s="17"/>
      <c r="H24" s="17"/>
      <c r="I24" s="17"/>
      <c r="J24" s="6" t="s">
        <v>0</v>
      </c>
      <c r="K24" s="39">
        <v>0.52083333333333337</v>
      </c>
      <c r="L24" s="36"/>
      <c r="N24" s="37"/>
    </row>
    <row r="25" spans="2:14" ht="16.8" customHeight="1">
      <c r="B25" s="24">
        <f ca="1">B18+1</f>
        <v>21</v>
      </c>
      <c r="C25" s="11">
        <f t="shared" ref="C25:I25" ca="1" si="3">DATE(YEAR($C$1),1,1)-WEEKDAY(DATE(YEAR($C$1),1,1),1)+($B25-1)*7+C$3</f>
        <v>42876</v>
      </c>
      <c r="D25" s="12">
        <f t="shared" ca="1" si="3"/>
        <v>42877</v>
      </c>
      <c r="E25" s="12">
        <f t="shared" ca="1" si="3"/>
        <v>42878</v>
      </c>
      <c r="F25" s="12">
        <f t="shared" ca="1" si="3"/>
        <v>42879</v>
      </c>
      <c r="G25" s="13">
        <f t="shared" ca="1" si="3"/>
        <v>42880</v>
      </c>
      <c r="H25" s="14">
        <f t="shared" ca="1" si="3"/>
        <v>42881</v>
      </c>
      <c r="I25" s="15">
        <f t="shared" ca="1" si="3"/>
        <v>42882</v>
      </c>
      <c r="J25" s="6" t="s">
        <v>0</v>
      </c>
      <c r="K25" s="39">
        <v>0.54166666666666663</v>
      </c>
      <c r="L25" s="33"/>
      <c r="N25" s="37"/>
    </row>
    <row r="26" spans="2:14" ht="16.8" customHeight="1">
      <c r="B26" s="24"/>
      <c r="C26" s="16" t="str">
        <f t="array" aca="1" ref="C26" ca="1">IF(COUNTIFS(Listing!$A$2:$A$1000, Calendar!$L$5, Listing!$C$2:$C$1000, "&gt;=" &amp; C25, Listing!$C$2:$C$1000, "&lt;" &amp; C25 + 1) &gt; 1,
COUNTIFS(Listing!$A$2:$A$1000, Calendar!$L$5, Listing!$C$2:$C$1000, "&gt;=" &amp; C25, Listing!$C$2:$C$1000, "&lt;" &amp; C25 + 1),
IFERROR(INDEX(Listing!$B$2:$B$1000,MATCH(1, (Calendar!$L$5=Listing!$A$2:$A$1000) * (C25 = FLOOR(Listing!$C$2:$C$1000, 1)),0)),""))</f>
        <v/>
      </c>
      <c r="D26" s="16" t="str">
        <f t="array" aca="1" ref="D26" ca="1">IF(COUNTIFS(Listing!$A$2:$A$1000, Calendar!$L$5, Listing!$C$2:$C$1000, "&gt;=" &amp; D25, Listing!$C$2:$C$1000, "&lt;" &amp; D25 + 1) &gt; 1,
COUNTIFS(Listing!$A$2:$A$1000, Calendar!$L$5, Listing!$C$2:$C$1000, "&gt;=" &amp; D25, Listing!$C$2:$C$1000, "&lt;" &amp; D25 + 1),
IFERROR(INDEX(Listing!$B$2:$B$1000,MATCH(1, (Calendar!$L$5=Listing!$A$2:$A$1000) * (D25 = FLOOR(Listing!$C$2:$C$1000, 1)),0)),""))</f>
        <v/>
      </c>
      <c r="E26" s="16" t="str">
        <f t="array" aca="1" ref="E26" ca="1">IF(COUNTIFS(Listing!$A$2:$A$1000, Calendar!$L$5, Listing!$C$2:$C$1000, "&gt;=" &amp; E25, Listing!$C$2:$C$1000, "&lt;" &amp; E25 + 1) &gt; 1,
COUNTIFS(Listing!$A$2:$A$1000, Calendar!$L$5, Listing!$C$2:$C$1000, "&gt;=" &amp; E25, Listing!$C$2:$C$1000, "&lt;" &amp; E25 + 1),
IFERROR(INDEX(Listing!$B$2:$B$1000,MATCH(1, (Calendar!$L$5=Listing!$A$2:$A$1000) * (E25 = FLOOR(Listing!$C$2:$C$1000, 1)),0)),""))</f>
        <v/>
      </c>
      <c r="F26" s="16" t="str">
        <f t="array" aca="1" ref="F26" ca="1">IF(COUNTIFS(Listing!$A$2:$A$1000, Calendar!$L$5, Listing!$C$2:$C$1000, "&gt;=" &amp; F25, Listing!$C$2:$C$1000, "&lt;" &amp; F25 + 1) &gt; 1,
COUNTIFS(Listing!$A$2:$A$1000, Calendar!$L$5, Listing!$C$2:$C$1000, "&gt;=" &amp; F25, Listing!$C$2:$C$1000, "&lt;" &amp; F25 + 1),
IFERROR(INDEX(Listing!$B$2:$B$1000,MATCH(1, (Calendar!$L$5=Listing!$A$2:$A$1000) * (F25 = FLOOR(Listing!$C$2:$C$1000, 1)),0)),""))</f>
        <v>Flo Frisk</v>
      </c>
      <c r="G26" s="16" t="str">
        <f t="array" aca="1" ref="G26" ca="1">IF(COUNTIFS(Listing!$A$2:$A$1000, Calendar!$L$5, Listing!$C$2:$C$1000, "&gt;=" &amp; G25, Listing!$C$2:$C$1000, "&lt;" &amp; G25 + 1) &gt; 1,
COUNTIFS(Listing!$A$2:$A$1000, Calendar!$L$5, Listing!$C$2:$C$1000, "&gt;=" &amp; G25, Listing!$C$2:$C$1000, "&lt;" &amp; G25 + 1),
IFERROR(INDEX(Listing!$B$2:$B$1000,MATCH(1, (Calendar!$L$5=Listing!$A$2:$A$1000) * (G25 = FLOOR(Listing!$C$2:$C$1000, 1)),0)),""))</f>
        <v>Sheryl Strout</v>
      </c>
      <c r="H26" s="16" t="str">
        <f t="array" aca="1" ref="H26" ca="1">IF(COUNTIFS(Listing!$A$2:$A$1000, Calendar!$L$5, Listing!$C$2:$C$1000, "&gt;=" &amp; H25, Listing!$C$2:$C$1000, "&lt;" &amp; H25 + 1) &gt; 1,
COUNTIFS(Listing!$A$2:$A$1000, Calendar!$L$5, Listing!$C$2:$C$1000, "&gt;=" &amp; H25, Listing!$C$2:$C$1000, "&lt;" &amp; H25 + 1),
IFERROR(INDEX(Listing!$B$2:$B$1000,MATCH(1, (Calendar!$L$5=Listing!$A$2:$A$1000) * (H25 = FLOOR(Listing!$C$2:$C$1000, 1)),0)),""))</f>
        <v>Marilyn Mackiewicz</v>
      </c>
      <c r="I26" s="16" t="str">
        <f t="array" aca="1" ref="I26" ca="1">IF(COUNTIFS(Listing!$A$2:$A$1000, Calendar!$L$5, Listing!$C$2:$C$1000, "&gt;=" &amp; I25, Listing!$C$2:$C$1000, "&lt;" &amp; I25 + 1) &gt; 1,
COUNTIFS(Listing!$A$2:$A$1000, Calendar!$L$5, Listing!$C$2:$C$1000, "&gt;=" &amp; I25, Listing!$C$2:$C$1000, "&lt;" &amp; I25 + 1),
IFERROR(INDEX(Listing!$B$2:$B$1000,MATCH(1, (Calendar!$L$5=Listing!$A$2:$A$1000) * (I25 = FLOOR(Listing!$C$2:$C$1000, 1)),0)),""))</f>
        <v/>
      </c>
      <c r="J26" s="6" t="s">
        <v>0</v>
      </c>
      <c r="K26" s="39">
        <v>0.5625</v>
      </c>
      <c r="L26" s="33"/>
      <c r="N26" s="37"/>
    </row>
    <row r="27" spans="2:14" ht="16.8" customHeight="1">
      <c r="B27" s="24"/>
      <c r="C27" s="16" t="str">
        <f t="array" aca="1" ref="C27" ca="1">IF(COUNTIFS(Listing!$A$2:$A$1000, Calendar!$L$6, Listing!$C$2:$C$1000, "&gt;=" &amp; C25, Listing!$C$2:$C$1000, "&lt;" &amp; C25 + 1) &gt; 1,
COUNTIFS(Listing!$A$2:$A$1000, Calendar!$L$6, Listing!$C$2:$C$1000, "&gt;=" &amp; C25, Listing!$C$2:$C$1000, "&lt;" &amp; C25 + 1),
IFERROR(INDEX(Listing!$B$2:$B$1000,MATCH(1, (Calendar!$L$6=Listing!$A$2:$A$1000) * (C25 = FLOOR(Listing!$C$2:$C$1000,1)),0)),""))</f>
        <v>Britney Bachelder</v>
      </c>
      <c r="D27" s="16" t="str">
        <f t="array" aca="1" ref="D27" ca="1">IF(COUNTIFS(Listing!$A$2:$A$1000, Calendar!$L$6, Listing!$C$2:$C$1000, "&gt;=" &amp; D25, Listing!$C$2:$C$1000, "&lt;" &amp; D25 + 1) &gt; 1,
COUNTIFS(Listing!$A$2:$A$1000, Calendar!$L$6, Listing!$C$2:$C$1000, "&gt;=" &amp; D25, Listing!$C$2:$C$1000, "&lt;" &amp; D25 + 1),
IFERROR(INDEX(Listing!$B$2:$B$1000,MATCH(1, (Calendar!$L$6=Listing!$A$2:$A$1000) * (D25 = FLOOR(Listing!$C$2:$C$1000,1)),0)),""))</f>
        <v>Joel Jolicoeur</v>
      </c>
      <c r="E27" s="16" t="str">
        <f t="array" aca="1" ref="E27" ca="1">IF(COUNTIFS(Listing!$A$2:$A$1000, Calendar!$L$6, Listing!$C$2:$C$1000, "&gt;=" &amp; E25, Listing!$C$2:$C$1000, "&lt;" &amp; E25 + 1) &gt; 1,
COUNTIFS(Listing!$A$2:$A$1000, Calendar!$L$6, Listing!$C$2:$C$1000, "&gt;=" &amp; E25, Listing!$C$2:$C$1000, "&lt;" &amp; E25 + 1),
IFERROR(INDEX(Listing!$B$2:$B$1000,MATCH(1, (Calendar!$L$6=Listing!$A$2:$A$1000) * (E25 = FLOOR(Listing!$C$2:$C$1000,1)),0)),""))</f>
        <v>Mercedez Magnani</v>
      </c>
      <c r="F27" s="16" t="str">
        <f t="array" aca="1" ref="F27" ca="1">IF(COUNTIFS(Listing!$A$2:$A$1000, Calendar!$L$6, Listing!$C$2:$C$1000, "&gt;=" &amp; F25, Listing!$C$2:$C$1000, "&lt;" &amp; F25 + 1) &gt; 1,
COUNTIFS(Listing!$A$2:$A$1000, Calendar!$L$6, Listing!$C$2:$C$1000, "&gt;=" &amp; F25, Listing!$C$2:$C$1000, "&lt;" &amp; F25 + 1),
IFERROR(INDEX(Listing!$B$2:$B$1000,MATCH(1, (Calendar!$L$6=Listing!$A$2:$A$1000) * (F25 = FLOOR(Listing!$C$2:$C$1000,1)),0)),""))</f>
        <v>Colby Creel</v>
      </c>
      <c r="G27" s="16" t="str">
        <f t="array" aca="1" ref="G27" ca="1">IF(COUNTIFS(Listing!$A$2:$A$1000, Calendar!$L$6, Listing!$C$2:$C$1000, "&gt;=" &amp; G25, Listing!$C$2:$C$1000, "&lt;" &amp; G25 + 1) &gt; 1,
COUNTIFS(Listing!$A$2:$A$1000, Calendar!$L$6, Listing!$C$2:$C$1000, "&gt;=" &amp; G25, Listing!$C$2:$C$1000, "&lt;" &amp; G25 + 1),
IFERROR(INDEX(Listing!$B$2:$B$1000,MATCH(1, (Calendar!$L$6=Listing!$A$2:$A$1000) * (G25 = FLOOR(Listing!$C$2:$C$1000,1)),0)),""))</f>
        <v/>
      </c>
      <c r="H27" s="16" t="str">
        <f t="array" aca="1" ref="H27" ca="1">IF(COUNTIFS(Listing!$A$2:$A$1000, Calendar!$L$6, Listing!$C$2:$C$1000, "&gt;=" &amp; H25, Listing!$C$2:$C$1000, "&lt;" &amp; H25 + 1) &gt; 1,
COUNTIFS(Listing!$A$2:$A$1000, Calendar!$L$6, Listing!$C$2:$C$1000, "&gt;=" &amp; H25, Listing!$C$2:$C$1000, "&lt;" &amp; H25 + 1),
IFERROR(INDEX(Listing!$B$2:$B$1000,MATCH(1, (Calendar!$L$6=Listing!$A$2:$A$1000) * (H25 = FLOOR(Listing!$C$2:$C$1000,1)),0)),""))</f>
        <v>Terica Tokarski</v>
      </c>
      <c r="I27" s="16" t="str">
        <f t="array" aca="1" ref="I27" ca="1">IF(COUNTIFS(Listing!$A$2:$A$1000, Calendar!$L$6, Listing!$C$2:$C$1000, "&gt;=" &amp; I25, Listing!$C$2:$C$1000, "&lt;" &amp; I25 + 1) &gt; 1,
COUNTIFS(Listing!$A$2:$A$1000, Calendar!$L$6, Listing!$C$2:$C$1000, "&gt;=" &amp; I25, Listing!$C$2:$C$1000, "&lt;" &amp; I25 + 1),
IFERROR(INDEX(Listing!$B$2:$B$1000,MATCH(1, (Calendar!$L$6=Listing!$A$2:$A$1000) * (I25 = FLOOR(Listing!$C$2:$C$1000,1)),0)),""))</f>
        <v/>
      </c>
      <c r="J27" s="6" t="s">
        <v>0</v>
      </c>
      <c r="K27" s="39">
        <v>0.58333333333333337</v>
      </c>
      <c r="L27" s="33"/>
      <c r="N27" s="37"/>
    </row>
    <row r="28" spans="2:14" ht="16.8" customHeight="1">
      <c r="B28" s="24"/>
      <c r="C28" s="16" t="str">
        <f t="array" aca="1" ref="C28" ca="1">IF(COUNTIFS(Listing!$A$2:$A$1000, Calendar!$L$7, Listing!$C$2:$C$1000, "&gt;=" &amp; C25, Listing!$C$2:$C$1000, "&lt;" &amp; C25 + 1) &gt; 1,
COUNTIFS(Listing!$A$2:$A$1000, Calendar!$L$7, Listing!$C$2:$C$1000, "&gt;=" &amp; C25, Listing!$C$2:$C$1000, "&lt;" &amp; C25 + 1),
IFERROR(INDEX(Listing!$B$2:$B$1000,MATCH(1, (Calendar!$L$7=Listing!$A$2:$A$1000) * (C25 = FLOOR(Listing!$C$2:$C$1000,1)),0)),""))</f>
        <v>Delphine Delatorre</v>
      </c>
      <c r="D28" s="16" t="str">
        <f t="array" aca="1" ref="D28" ca="1">IF(COUNTIFS(Listing!$A$2:$A$1000, Calendar!$L$7, Listing!$C$2:$C$1000, "&gt;=" &amp; D25, Listing!$C$2:$C$1000, "&lt;" &amp; D25 + 1) &gt; 1,
COUNTIFS(Listing!$A$2:$A$1000, Calendar!$L$7, Listing!$C$2:$C$1000, "&gt;=" &amp; D25, Listing!$C$2:$C$1000, "&lt;" &amp; D25 + 1),
IFERROR(INDEX(Listing!$B$2:$B$1000,MATCH(1, (Calendar!$L$7=Listing!$A$2:$A$1000) * (D25 = FLOOR(Listing!$C$2:$C$1000,1)),0)),""))</f>
        <v/>
      </c>
      <c r="E28" s="16" t="str">
        <f t="array" aca="1" ref="E28" ca="1">IF(COUNTIFS(Listing!$A$2:$A$1000, Calendar!$L$7, Listing!$C$2:$C$1000, "&gt;=" &amp; E25, Listing!$C$2:$C$1000, "&lt;" &amp; E25 + 1) &gt; 1,
COUNTIFS(Listing!$A$2:$A$1000, Calendar!$L$7, Listing!$C$2:$C$1000, "&gt;=" &amp; E25, Listing!$C$2:$C$1000, "&lt;" &amp; E25 + 1),
IFERROR(INDEX(Listing!$B$2:$B$1000,MATCH(1, (Calendar!$L$7=Listing!$A$2:$A$1000) * (E25 = FLOOR(Listing!$C$2:$C$1000,1)),0)),""))</f>
        <v>Sharen Snipe</v>
      </c>
      <c r="F28" s="16" t="str">
        <f t="array" aca="1" ref="F28" ca="1">IF(COUNTIFS(Listing!$A$2:$A$1000, Calendar!$L$7, Listing!$C$2:$C$1000, "&gt;=" &amp; F25, Listing!$C$2:$C$1000, "&lt;" &amp; F25 + 1) &gt; 1,
COUNTIFS(Listing!$A$2:$A$1000, Calendar!$L$7, Listing!$C$2:$C$1000, "&gt;=" &amp; F25, Listing!$C$2:$C$1000, "&lt;" &amp; F25 + 1),
IFERROR(INDEX(Listing!$B$2:$B$1000,MATCH(1, (Calendar!$L$7=Listing!$A$2:$A$1000) * (F25 = FLOOR(Listing!$C$2:$C$1000,1)),0)),""))</f>
        <v/>
      </c>
      <c r="G28" s="16" t="str">
        <f t="array" aca="1" ref="G28" ca="1">IF(COUNTIFS(Listing!$A$2:$A$1000, Calendar!$L$7, Listing!$C$2:$C$1000, "&gt;=" &amp; G25, Listing!$C$2:$C$1000, "&lt;" &amp; G25 + 1) &gt; 1,
COUNTIFS(Listing!$A$2:$A$1000, Calendar!$L$7, Listing!$C$2:$C$1000, "&gt;=" &amp; G25, Listing!$C$2:$C$1000, "&lt;" &amp; G25 + 1),
IFERROR(INDEX(Listing!$B$2:$B$1000,MATCH(1, (Calendar!$L$7=Listing!$A$2:$A$1000) * (G25 = FLOOR(Listing!$C$2:$C$1000,1)),0)),""))</f>
        <v/>
      </c>
      <c r="H28" s="16" t="str">
        <f t="array" aca="1" ref="H28" ca="1">IF(COUNTIFS(Listing!$A$2:$A$1000, Calendar!$L$7, Listing!$C$2:$C$1000, "&gt;=" &amp; H25, Listing!$C$2:$C$1000, "&lt;" &amp; H25 + 1) &gt; 1,
COUNTIFS(Listing!$A$2:$A$1000, Calendar!$L$7, Listing!$C$2:$C$1000, "&gt;=" &amp; H25, Listing!$C$2:$C$1000, "&lt;" &amp; H25 + 1),
IFERROR(INDEX(Listing!$B$2:$B$1000,MATCH(1, (Calendar!$L$7=Listing!$A$2:$A$1000) * (H25 = FLOOR(Listing!$C$2:$C$1000,1)),0)),""))</f>
        <v>Liliana Lucey</v>
      </c>
      <c r="I28" s="16" t="str">
        <f t="array" aca="1" ref="I28" ca="1">IF(COUNTIFS(Listing!$A$2:$A$1000, Calendar!$L$7, Listing!$C$2:$C$1000, "&gt;=" &amp; I25, Listing!$C$2:$C$1000, "&lt;" &amp; I25 + 1) &gt; 1,
COUNTIFS(Listing!$A$2:$A$1000, Calendar!$L$7, Listing!$C$2:$C$1000, "&gt;=" &amp; I25, Listing!$C$2:$C$1000, "&lt;" &amp; I25 + 1),
IFERROR(INDEX(Listing!$B$2:$B$1000,MATCH(1, (Calendar!$L$7=Listing!$A$2:$A$1000) * (I25 = FLOOR(Listing!$C$2:$C$1000,1)),0)),""))</f>
        <v/>
      </c>
      <c r="J28" s="6" t="s">
        <v>0</v>
      </c>
      <c r="K28" s="39">
        <v>0.60416666666666663</v>
      </c>
      <c r="L28" s="33"/>
      <c r="N28" s="37"/>
    </row>
    <row r="29" spans="2:14" ht="16.8" customHeight="1">
      <c r="B29" s="24"/>
      <c r="C29" s="16" t="str">
        <f t="array" aca="1" ref="C29" ca="1">IF(COUNTIFS(Listing!$A$2:$A$1000, Calendar!$L$8, Listing!$C$2:$C$1000, "&gt;=" &amp; C25, Listing!$C$2:$C$1000, "&lt;" &amp; C25 + 1) &gt; 1,
COUNTIFS(Listing!$A$2:$A$1000, Calendar!$L$8, Listing!$C$2:$C$1000, "&gt;=" &amp; C25, Listing!$C$2:$C$1000, "&lt;" &amp; C25 + 1),
IFERROR(INDEX(Listing!$B$2:$B$1000,MATCH(1, (Calendar!$L$8=Listing!$A$2:$A$1000) * (C25 = FLOOR(Listing!$C$2:$C$1000,1)),0)),""))</f>
        <v/>
      </c>
      <c r="D29" s="16" t="str">
        <f t="array" aca="1" ref="D29" ca="1">IF(COUNTIFS(Listing!$A$2:$A$1000, Calendar!$L$8, Listing!$C$2:$C$1000, "&gt;=" &amp; D25, Listing!$C$2:$C$1000, "&lt;" &amp; D25 + 1) &gt; 1,
COUNTIFS(Listing!$A$2:$A$1000, Calendar!$L$8, Listing!$C$2:$C$1000, "&gt;=" &amp; D25, Listing!$C$2:$C$1000, "&lt;" &amp; D25 + 1),
IFERROR(INDEX(Listing!$B$2:$B$1000,MATCH(1, (Calendar!$L$8=Listing!$A$2:$A$1000) * (D25 = FLOOR(Listing!$C$2:$C$1000,1)),0)),""))</f>
        <v>Tracey Torre</v>
      </c>
      <c r="E29" s="16" t="str">
        <f t="array" aca="1" ref="E29" ca="1">IF(COUNTIFS(Listing!$A$2:$A$1000, Calendar!$L$8, Listing!$C$2:$C$1000, "&gt;=" &amp; E25, Listing!$C$2:$C$1000, "&lt;" &amp; E25 + 1) &gt; 1,
COUNTIFS(Listing!$A$2:$A$1000, Calendar!$L$8, Listing!$C$2:$C$1000, "&gt;=" &amp; E25, Listing!$C$2:$C$1000, "&lt;" &amp; E25 + 1),
IFERROR(INDEX(Listing!$B$2:$B$1000,MATCH(1, (Calendar!$L$8=Listing!$A$2:$A$1000) * (E25 = FLOOR(Listing!$C$2:$C$1000,1)),0)),""))</f>
        <v>Kevin Krider</v>
      </c>
      <c r="F29" s="16" t="str">
        <f t="array" aca="1" ref="F29" ca="1">IF(COUNTIFS(Listing!$A$2:$A$1000, Calendar!$L$8, Listing!$C$2:$C$1000, "&gt;=" &amp; F25, Listing!$C$2:$C$1000, "&lt;" &amp; F25 + 1) &gt; 1,
COUNTIFS(Listing!$A$2:$A$1000, Calendar!$L$8, Listing!$C$2:$C$1000, "&gt;=" &amp; F25, Listing!$C$2:$C$1000, "&lt;" &amp; F25 + 1),
IFERROR(INDEX(Listing!$B$2:$B$1000,MATCH(1, (Calendar!$L$8=Listing!$A$2:$A$1000) * (F25 = FLOOR(Listing!$C$2:$C$1000,1)),0)),""))</f>
        <v/>
      </c>
      <c r="G29" s="16" t="str">
        <f t="array" aca="1" ref="G29" ca="1">IF(COUNTIFS(Listing!$A$2:$A$1000, Calendar!$L$8, Listing!$C$2:$C$1000, "&gt;=" &amp; G25, Listing!$C$2:$C$1000, "&lt;" &amp; G25 + 1) &gt; 1,
COUNTIFS(Listing!$A$2:$A$1000, Calendar!$L$8, Listing!$C$2:$C$1000, "&gt;=" &amp; G25, Listing!$C$2:$C$1000, "&lt;" &amp; G25 + 1),
IFERROR(INDEX(Listing!$B$2:$B$1000,MATCH(1, (Calendar!$L$8=Listing!$A$2:$A$1000) * (G25 = FLOOR(Listing!$C$2:$C$1000,1)),0)),""))</f>
        <v/>
      </c>
      <c r="H29" s="16" t="str">
        <f t="array" aca="1" ref="H29" ca="1">IF(COUNTIFS(Listing!$A$2:$A$1000, Calendar!$L$8, Listing!$C$2:$C$1000, "&gt;=" &amp; H25, Listing!$C$2:$C$1000, "&lt;" &amp; H25 + 1) &gt; 1,
COUNTIFS(Listing!$A$2:$A$1000, Calendar!$L$8, Listing!$C$2:$C$1000, "&gt;=" &amp; H25, Listing!$C$2:$C$1000, "&lt;" &amp; H25 + 1),
IFERROR(INDEX(Listing!$B$2:$B$1000,MATCH(1, (Calendar!$L$8=Listing!$A$2:$A$1000) * (H25 = FLOOR(Listing!$C$2:$C$1000,1)),0)),""))</f>
        <v/>
      </c>
      <c r="I29" s="16" t="str">
        <f t="array" aca="1" ref="I29" ca="1">IF(COUNTIFS(Listing!$A$2:$A$1000, Calendar!$L$8, Listing!$C$2:$C$1000, "&gt;=" &amp; I25, Listing!$C$2:$C$1000, "&lt;" &amp; I25 + 1) &gt; 1,
COUNTIFS(Listing!$A$2:$A$1000, Calendar!$L$8, Listing!$C$2:$C$1000, "&gt;=" &amp; I25, Listing!$C$2:$C$1000, "&lt;" &amp; I25 + 1),
IFERROR(INDEX(Listing!$B$2:$B$1000,MATCH(1, (Calendar!$L$8=Listing!$A$2:$A$1000) * (I25 = FLOOR(Listing!$C$2:$C$1000,1)),0)),""))</f>
        <v/>
      </c>
      <c r="J29" s="6" t="s">
        <v>0</v>
      </c>
      <c r="K29" s="39">
        <v>0.625</v>
      </c>
      <c r="L29" s="33"/>
      <c r="N29" s="37"/>
    </row>
    <row r="30" spans="2:14" ht="16.8" customHeight="1">
      <c r="B30" s="25"/>
      <c r="C30" s="16" t="str">
        <f t="array" aca="1" ref="C30" ca="1">IF(COUNTIFS(Listing!$A$2:$A$1000, Calendar!$L$9, Listing!$C$2:$C$1000, "&gt;=" &amp; C25, Listing!$C$2:$C$1000, "&lt;" &amp; C25 + 1) &gt; 1,
COUNTIFS(Listing!$A$2:$A$1000, Calendar!$L$9, Listing!$C$2:$C$1000, "&gt;=" &amp; C25, Listing!$C$2:$C$1000, "&lt;" &amp; C25 + 1),
IFERROR(INDEX(Listing!$B$2:$B$1000,MATCH(1, (Calendar!$L$9=Listing!$A$2:$A$1000) * (C25 = FLOOR(Listing!$C$2:$C$1000,1)),0)),""))</f>
        <v>Ashlea Abbe</v>
      </c>
      <c r="D30" s="16" t="str">
        <f t="array" aca="1" ref="D30" ca="1">IF(COUNTIFS(Listing!$A$2:$A$1000, Calendar!$L$9, Listing!$C$2:$C$1000, "&gt;=" &amp; D25, Listing!$C$2:$C$1000, "&lt;" &amp; D25 + 1) &gt; 1,
COUNTIFS(Listing!$A$2:$A$1000, Calendar!$L$9, Listing!$C$2:$C$1000, "&gt;=" &amp; D25, Listing!$C$2:$C$1000, "&lt;" &amp; D25 + 1),
IFERROR(INDEX(Listing!$B$2:$B$1000,MATCH(1, (Calendar!$L$9=Listing!$A$2:$A$1000) * (D25 = FLOOR(Listing!$C$2:$C$1000,1)),0)),""))</f>
        <v>Verena Venturini</v>
      </c>
      <c r="E30" s="16" t="str">
        <f t="array" aca="1" ref="E30" ca="1">IF(COUNTIFS(Listing!$A$2:$A$1000, Calendar!$L$9, Listing!$C$2:$C$1000, "&gt;=" &amp; E25, Listing!$C$2:$C$1000, "&lt;" &amp; E25 + 1) &gt; 1,
COUNTIFS(Listing!$A$2:$A$1000, Calendar!$L$9, Listing!$C$2:$C$1000, "&gt;=" &amp; E25, Listing!$C$2:$C$1000, "&lt;" &amp; E25 + 1),
IFERROR(INDEX(Listing!$B$2:$B$1000,MATCH(1, (Calendar!$L$9=Listing!$A$2:$A$1000) * (E25 = FLOOR(Listing!$C$2:$C$1000,1)),0)),""))</f>
        <v>Maragaret Manville</v>
      </c>
      <c r="F30" s="16" t="str">
        <f t="array" aca="1" ref="F30" ca="1">IF(COUNTIFS(Listing!$A$2:$A$1000, Calendar!$L$9, Listing!$C$2:$C$1000, "&gt;=" &amp; F25, Listing!$C$2:$C$1000, "&lt;" &amp; F25 + 1) &gt; 1,
COUNTIFS(Listing!$A$2:$A$1000, Calendar!$L$9, Listing!$C$2:$C$1000, "&gt;=" &amp; F25, Listing!$C$2:$C$1000, "&lt;" &amp; F25 + 1),
IFERROR(INDEX(Listing!$B$2:$B$1000,MATCH(1, (Calendar!$L$9=Listing!$A$2:$A$1000) * (F25 = FLOOR(Listing!$C$2:$C$1000,1)),0)),""))</f>
        <v>Kayleigh Kraker</v>
      </c>
      <c r="G30" s="16">
        <f t="array" aca="1" ref="G30" ca="1">IF(COUNTIFS(Listing!$A$2:$A$1000, Calendar!$L$9, Listing!$C$2:$C$1000, "&gt;=" &amp; G25, Listing!$C$2:$C$1000, "&lt;" &amp; G25 + 1) &gt; 1,
COUNTIFS(Listing!$A$2:$A$1000, Calendar!$L$9, Listing!$C$2:$C$1000, "&gt;=" &amp; G25, Listing!$C$2:$C$1000, "&lt;" &amp; G25 + 1),
IFERROR(INDEX(Listing!$B$2:$B$1000,MATCH(1, (Calendar!$L$9=Listing!$A$2:$A$1000) * (G25 = FLOOR(Listing!$C$2:$C$1000,1)),0)),""))</f>
        <v>2</v>
      </c>
      <c r="H30" s="16">
        <f t="array" aca="1" ref="H30" ca="1">IF(COUNTIFS(Listing!$A$2:$A$1000, Calendar!$L$9, Listing!$C$2:$C$1000, "&gt;=" &amp; H25, Listing!$C$2:$C$1000, "&lt;" &amp; H25 + 1) &gt; 1,
COUNTIFS(Listing!$A$2:$A$1000, Calendar!$L$9, Listing!$C$2:$C$1000, "&gt;=" &amp; H25, Listing!$C$2:$C$1000, "&lt;" &amp; H25 + 1),
IFERROR(INDEX(Listing!$B$2:$B$1000,MATCH(1, (Calendar!$L$9=Listing!$A$2:$A$1000) * (H25 = FLOOR(Listing!$C$2:$C$1000,1)),0)),""))</f>
        <v>2</v>
      </c>
      <c r="I30" s="16" t="str">
        <f t="array" aca="1" ref="I30" ca="1">IF(COUNTIFS(Listing!$A$2:$A$1000, Calendar!$L$9, Listing!$C$2:$C$1000, "&gt;=" &amp; I25, Listing!$C$2:$C$1000, "&lt;" &amp; I25 + 1) &gt; 1,
COUNTIFS(Listing!$A$2:$A$1000, Calendar!$L$9, Listing!$C$2:$C$1000, "&gt;=" &amp; I25, Listing!$C$2:$C$1000, "&lt;" &amp; I25 + 1),
IFERROR(INDEX(Listing!$B$2:$B$1000,MATCH(1, (Calendar!$L$9=Listing!$A$2:$A$1000) * (I25 = FLOOR(Listing!$C$2:$C$1000,1)),0)),""))</f>
        <v>Thora Tatman</v>
      </c>
      <c r="J30" s="6" t="s">
        <v>0</v>
      </c>
      <c r="K30" s="39">
        <v>0.64583333333333337</v>
      </c>
      <c r="L30" s="33"/>
      <c r="N30" s="37"/>
    </row>
    <row r="31" spans="2:14" ht="16.8" customHeight="1">
      <c r="B31" s="25"/>
      <c r="C31" s="17"/>
      <c r="D31" s="17"/>
      <c r="E31" s="17"/>
      <c r="F31" s="17"/>
      <c r="G31" s="17"/>
      <c r="H31" s="17"/>
      <c r="I31" s="17"/>
      <c r="J31" s="6" t="s">
        <v>0</v>
      </c>
      <c r="K31" s="39">
        <v>0.66666666666666663</v>
      </c>
      <c r="L31" s="33"/>
      <c r="N31" s="37"/>
    </row>
    <row r="32" spans="2:14" ht="16.8" customHeight="1">
      <c r="B32" s="24">
        <f ca="1">B25+1</f>
        <v>22</v>
      </c>
      <c r="C32" s="11">
        <f t="shared" ref="C32:I32" ca="1" si="4">DATE(YEAR($C$1),1,1)-WEEKDAY(DATE(YEAR($C$1),1,1),1)+($B32-1)*7+C$3</f>
        <v>42883</v>
      </c>
      <c r="D32" s="12">
        <f t="shared" ca="1" si="4"/>
        <v>42884</v>
      </c>
      <c r="E32" s="12">
        <f t="shared" ca="1" si="4"/>
        <v>42885</v>
      </c>
      <c r="F32" s="12">
        <f t="shared" ca="1" si="4"/>
        <v>42886</v>
      </c>
      <c r="G32" s="13">
        <f t="shared" ca="1" si="4"/>
        <v>42887</v>
      </c>
      <c r="H32" s="14">
        <f t="shared" ca="1" si="4"/>
        <v>42888</v>
      </c>
      <c r="I32" s="15">
        <f t="shared" ca="1" si="4"/>
        <v>42889</v>
      </c>
      <c r="J32" s="6" t="s">
        <v>0</v>
      </c>
      <c r="K32" s="39">
        <v>0.6875</v>
      </c>
      <c r="L32" s="33"/>
      <c r="N32" s="37"/>
    </row>
    <row r="33" spans="2:15" ht="16.8" customHeight="1">
      <c r="B33" s="24"/>
      <c r="C33" s="16" t="str">
        <f t="array" aca="1" ref="C33" ca="1">IF(COUNTIFS(Listing!$A$2:$A$1000, Calendar!$L$5, Listing!$C$2:$C$1000, "&gt;=" &amp; C32, Listing!$C$2:$C$1000, "&lt;" &amp; C32 + 1) &gt; 1,
COUNTIFS(Listing!$A$2:$A$1000, Calendar!$L$5, Listing!$C$2:$C$1000, "&gt;=" &amp; C32, Listing!$C$2:$C$1000, "&lt;" &amp; C32 + 1),
IFERROR(INDEX(Listing!$B$2:$B$1000,MATCH(1, (Calendar!$L$5=Listing!$A$2:$A$1000) * (C32 = FLOOR(Listing!$C$2:$C$1000, 1)),0)),""))</f>
        <v>Tricia Than</v>
      </c>
      <c r="D33" s="16" t="str">
        <f t="array" aca="1" ref="D33" ca="1">IF(COUNTIFS(Listing!$A$2:$A$1000, Calendar!$L$5, Listing!$C$2:$C$1000, "&gt;=" &amp; D32, Listing!$C$2:$C$1000, "&lt;" &amp; D32 + 1) &gt; 1,
COUNTIFS(Listing!$A$2:$A$1000, Calendar!$L$5, Listing!$C$2:$C$1000, "&gt;=" &amp; D32, Listing!$C$2:$C$1000, "&lt;" &amp; D32 + 1),
IFERROR(INDEX(Listing!$B$2:$B$1000,MATCH(1, (Calendar!$L$5=Listing!$A$2:$A$1000) * (D32 = FLOOR(Listing!$C$2:$C$1000, 1)),0)),""))</f>
        <v/>
      </c>
      <c r="E33" s="16" t="str">
        <f t="array" aca="1" ref="E33" ca="1">IF(COUNTIFS(Listing!$A$2:$A$1000, Calendar!$L$5, Listing!$C$2:$C$1000, "&gt;=" &amp; E32, Listing!$C$2:$C$1000, "&lt;" &amp; E32 + 1) &gt; 1,
COUNTIFS(Listing!$A$2:$A$1000, Calendar!$L$5, Listing!$C$2:$C$1000, "&gt;=" &amp; E32, Listing!$C$2:$C$1000, "&lt;" &amp; E32 + 1),
IFERROR(INDEX(Listing!$B$2:$B$1000,MATCH(1, (Calendar!$L$5=Listing!$A$2:$A$1000) * (E32 = FLOOR(Listing!$C$2:$C$1000, 1)),0)),""))</f>
        <v>Adele Allums</v>
      </c>
      <c r="F33" s="16" t="str">
        <f t="array" aca="1" ref="F33" ca="1">IF(COUNTIFS(Listing!$A$2:$A$1000, Calendar!$L$5, Listing!$C$2:$C$1000, "&gt;=" &amp; F32, Listing!$C$2:$C$1000, "&lt;" &amp; F32 + 1) &gt; 1,
COUNTIFS(Listing!$A$2:$A$1000, Calendar!$L$5, Listing!$C$2:$C$1000, "&gt;=" &amp; F32, Listing!$C$2:$C$1000, "&lt;" &amp; F32 + 1),
IFERROR(INDEX(Listing!$B$2:$B$1000,MATCH(1, (Calendar!$L$5=Listing!$A$2:$A$1000) * (F32 = FLOOR(Listing!$C$2:$C$1000, 1)),0)),""))</f>
        <v/>
      </c>
      <c r="G33" s="16" t="str">
        <f t="array" aca="1" ref="G33" ca="1">IF(COUNTIFS(Listing!$A$2:$A$1000, Calendar!$L$5, Listing!$C$2:$C$1000, "&gt;=" &amp; G32, Listing!$C$2:$C$1000, "&lt;" &amp; G32 + 1) &gt; 1,
COUNTIFS(Listing!$A$2:$A$1000, Calendar!$L$5, Listing!$C$2:$C$1000, "&gt;=" &amp; G32, Listing!$C$2:$C$1000, "&lt;" &amp; G32 + 1),
IFERROR(INDEX(Listing!$B$2:$B$1000,MATCH(1, (Calendar!$L$5=Listing!$A$2:$A$1000) * (G32 = FLOOR(Listing!$C$2:$C$1000, 1)),0)),""))</f>
        <v/>
      </c>
      <c r="H33" s="16" t="str">
        <f t="array" aca="1" ref="H33" ca="1">IF(COUNTIFS(Listing!$A$2:$A$1000, Calendar!$L$5, Listing!$C$2:$C$1000, "&gt;=" &amp; H32, Listing!$C$2:$C$1000, "&lt;" &amp; H32 + 1) &gt; 1,
COUNTIFS(Listing!$A$2:$A$1000, Calendar!$L$5, Listing!$C$2:$C$1000, "&gt;=" &amp; H32, Listing!$C$2:$C$1000, "&lt;" &amp; H32 + 1),
IFERROR(INDEX(Listing!$B$2:$B$1000,MATCH(1, (Calendar!$L$5=Listing!$A$2:$A$1000) * (H32 = FLOOR(Listing!$C$2:$C$1000, 1)),0)),""))</f>
        <v>Philip Plaisted</v>
      </c>
      <c r="I33" s="16" t="str">
        <f t="array" aca="1" ref="I33" ca="1">IF(COUNTIFS(Listing!$A$2:$A$1000, Calendar!$L$5, Listing!$C$2:$C$1000, "&gt;=" &amp; I32, Listing!$C$2:$C$1000, "&lt;" &amp; I32 + 1) &gt; 1,
COUNTIFS(Listing!$A$2:$A$1000, Calendar!$L$5, Listing!$C$2:$C$1000, "&gt;=" &amp; I32, Listing!$C$2:$C$1000, "&lt;" &amp; I32 + 1),
IFERROR(INDEX(Listing!$B$2:$B$1000,MATCH(1, (Calendar!$L$5=Listing!$A$2:$A$1000) * (I32 = FLOOR(Listing!$C$2:$C$1000, 1)),0)),""))</f>
        <v/>
      </c>
      <c r="J33" s="6" t="s">
        <v>0</v>
      </c>
      <c r="K33" s="39">
        <v>0.70833333333333337</v>
      </c>
      <c r="L33" s="33"/>
      <c r="N33" s="37"/>
    </row>
    <row r="34" spans="2:15" ht="16.8" customHeight="1">
      <c r="B34" s="24"/>
      <c r="C34" s="16" t="str">
        <f t="array" aca="1" ref="C34" ca="1">IF(COUNTIFS(Listing!$A$2:$A$1000, Calendar!$L$6, Listing!$C$2:$C$1000, "&gt;=" &amp; C32, Listing!$C$2:$C$1000, "&lt;" &amp; C32 + 1) &gt; 1,
COUNTIFS(Listing!$A$2:$A$1000, Calendar!$L$6, Listing!$C$2:$C$1000, "&gt;=" &amp; C32, Listing!$C$2:$C$1000, "&lt;" &amp; C32 + 1),
IFERROR(INDEX(Listing!$B$2:$B$1000,MATCH(1, (Calendar!$L$6=Listing!$A$2:$A$1000) * (C32 = FLOOR(Listing!$C$2:$C$1000,1)),0)),""))</f>
        <v/>
      </c>
      <c r="D34" s="16" t="str">
        <f t="array" aca="1" ref="D34" ca="1">IF(COUNTIFS(Listing!$A$2:$A$1000, Calendar!$L$6, Listing!$C$2:$C$1000, "&gt;=" &amp; D32, Listing!$C$2:$C$1000, "&lt;" &amp; D32 + 1) &gt; 1,
COUNTIFS(Listing!$A$2:$A$1000, Calendar!$L$6, Listing!$C$2:$C$1000, "&gt;=" &amp; D32, Listing!$C$2:$C$1000, "&lt;" &amp; D32 + 1),
IFERROR(INDEX(Listing!$B$2:$B$1000,MATCH(1, (Calendar!$L$6=Listing!$A$2:$A$1000) * (D32 = FLOOR(Listing!$C$2:$C$1000,1)),0)),""))</f>
        <v>Bailey Bedwell</v>
      </c>
      <c r="E34" s="16" t="str">
        <f t="array" aca="1" ref="E34" ca="1">IF(COUNTIFS(Listing!$A$2:$A$1000, Calendar!$L$6, Listing!$C$2:$C$1000, "&gt;=" &amp; E32, Listing!$C$2:$C$1000, "&lt;" &amp; E32 + 1) &gt; 1,
COUNTIFS(Listing!$A$2:$A$1000, Calendar!$L$6, Listing!$C$2:$C$1000, "&gt;=" &amp; E32, Listing!$C$2:$C$1000, "&lt;" &amp; E32 + 1),
IFERROR(INDEX(Listing!$B$2:$B$1000,MATCH(1, (Calendar!$L$6=Listing!$A$2:$A$1000) * (E32 = FLOOR(Listing!$C$2:$C$1000,1)),0)),""))</f>
        <v>Herman Hauptman</v>
      </c>
      <c r="F34" s="16" t="str">
        <f t="array" aca="1" ref="F34" ca="1">IF(COUNTIFS(Listing!$A$2:$A$1000, Calendar!$L$6, Listing!$C$2:$C$1000, "&gt;=" &amp; F32, Listing!$C$2:$C$1000, "&lt;" &amp; F32 + 1) &gt; 1,
COUNTIFS(Listing!$A$2:$A$1000, Calendar!$L$6, Listing!$C$2:$C$1000, "&gt;=" &amp; F32, Listing!$C$2:$C$1000, "&lt;" &amp; F32 + 1),
IFERROR(INDEX(Listing!$B$2:$B$1000,MATCH(1, (Calendar!$L$6=Listing!$A$2:$A$1000) * (F32 = FLOOR(Listing!$C$2:$C$1000,1)),0)),""))</f>
        <v>Barbera Boer</v>
      </c>
      <c r="G34" s="16">
        <f t="array" aca="1" ref="G34" ca="1">IF(COUNTIFS(Listing!$A$2:$A$1000, Calendar!$L$6, Listing!$C$2:$C$1000, "&gt;=" &amp; G32, Listing!$C$2:$C$1000, "&lt;" &amp; G32 + 1) &gt; 1,
COUNTIFS(Listing!$A$2:$A$1000, Calendar!$L$6, Listing!$C$2:$C$1000, "&gt;=" &amp; G32, Listing!$C$2:$C$1000, "&lt;" &amp; G32 + 1),
IFERROR(INDEX(Listing!$B$2:$B$1000,MATCH(1, (Calendar!$L$6=Listing!$A$2:$A$1000) * (G32 = FLOOR(Listing!$C$2:$C$1000,1)),0)),""))</f>
        <v>2</v>
      </c>
      <c r="H34" s="16" t="str">
        <f t="array" aca="1" ref="H34" ca="1">IF(COUNTIFS(Listing!$A$2:$A$1000, Calendar!$L$6, Listing!$C$2:$C$1000, "&gt;=" &amp; H32, Listing!$C$2:$C$1000, "&lt;" &amp; H32 + 1) &gt; 1,
COUNTIFS(Listing!$A$2:$A$1000, Calendar!$L$6, Listing!$C$2:$C$1000, "&gt;=" &amp; H32, Listing!$C$2:$C$1000, "&lt;" &amp; H32 + 1),
IFERROR(INDEX(Listing!$B$2:$B$1000,MATCH(1, (Calendar!$L$6=Listing!$A$2:$A$1000) * (H32 = FLOOR(Listing!$C$2:$C$1000,1)),0)),""))</f>
        <v/>
      </c>
      <c r="I34" s="16" t="str">
        <f t="array" aca="1" ref="I34" ca="1">IF(COUNTIFS(Listing!$A$2:$A$1000, Calendar!$L$6, Listing!$C$2:$C$1000, "&gt;=" &amp; I32, Listing!$C$2:$C$1000, "&lt;" &amp; I32 + 1) &gt; 1,
COUNTIFS(Listing!$A$2:$A$1000, Calendar!$L$6, Listing!$C$2:$C$1000, "&gt;=" &amp; I32, Listing!$C$2:$C$1000, "&lt;" &amp; I32 + 1),
IFERROR(INDEX(Listing!$B$2:$B$1000,MATCH(1, (Calendar!$L$6=Listing!$A$2:$A$1000) * (I32 = FLOOR(Listing!$C$2:$C$1000,1)),0)),""))</f>
        <v/>
      </c>
      <c r="J34" s="6" t="s">
        <v>0</v>
      </c>
      <c r="K34" s="39">
        <v>0.72916666666666663</v>
      </c>
      <c r="L34" s="33"/>
      <c r="N34" s="37"/>
    </row>
    <row r="35" spans="2:15" ht="16.8" customHeight="1">
      <c r="B35" s="24"/>
      <c r="C35" s="16" t="str">
        <f t="array" aca="1" ref="C35" ca="1">IF(COUNTIFS(Listing!$A$2:$A$1000, Calendar!$L$7, Listing!$C$2:$C$1000, "&gt;=" &amp; C32, Listing!$C$2:$C$1000, "&lt;" &amp; C32 + 1) &gt; 1,
COUNTIFS(Listing!$A$2:$A$1000, Calendar!$L$7, Listing!$C$2:$C$1000, "&gt;=" &amp; C32, Listing!$C$2:$C$1000, "&lt;" &amp; C32 + 1),
IFERROR(INDEX(Listing!$B$2:$B$1000,MATCH(1, (Calendar!$L$7=Listing!$A$2:$A$1000) * (C32 = FLOOR(Listing!$C$2:$C$1000,1)),0)),""))</f>
        <v>Jacqueline Justis</v>
      </c>
      <c r="D35" s="16" t="str">
        <f t="array" aca="1" ref="D35" ca="1">IF(COUNTIFS(Listing!$A$2:$A$1000, Calendar!$L$7, Listing!$C$2:$C$1000, "&gt;=" &amp; D32, Listing!$C$2:$C$1000, "&lt;" &amp; D32 + 1) &gt; 1,
COUNTIFS(Listing!$A$2:$A$1000, Calendar!$L$7, Listing!$C$2:$C$1000, "&gt;=" &amp; D32, Listing!$C$2:$C$1000, "&lt;" &amp; D32 + 1),
IFERROR(INDEX(Listing!$B$2:$B$1000,MATCH(1, (Calendar!$L$7=Listing!$A$2:$A$1000) * (D32 = FLOOR(Listing!$C$2:$C$1000,1)),0)),""))</f>
        <v/>
      </c>
      <c r="E35" s="16">
        <f t="array" aca="1" ref="E35" ca="1">IF(COUNTIFS(Listing!$A$2:$A$1000, Calendar!$L$7, Listing!$C$2:$C$1000, "&gt;=" &amp; E32, Listing!$C$2:$C$1000, "&lt;" &amp; E32 + 1) &gt; 1,
COUNTIFS(Listing!$A$2:$A$1000, Calendar!$L$7, Listing!$C$2:$C$1000, "&gt;=" &amp; E32, Listing!$C$2:$C$1000, "&lt;" &amp; E32 + 1),
IFERROR(INDEX(Listing!$B$2:$B$1000,MATCH(1, (Calendar!$L$7=Listing!$A$2:$A$1000) * (E32 = FLOOR(Listing!$C$2:$C$1000,1)),0)),""))</f>
        <v>2</v>
      </c>
      <c r="F35" s="16" t="str">
        <f t="array" aca="1" ref="F35" ca="1">IF(COUNTIFS(Listing!$A$2:$A$1000, Calendar!$L$7, Listing!$C$2:$C$1000, "&gt;=" &amp; F32, Listing!$C$2:$C$1000, "&lt;" &amp; F32 + 1) &gt; 1,
COUNTIFS(Listing!$A$2:$A$1000, Calendar!$L$7, Listing!$C$2:$C$1000, "&gt;=" &amp; F32, Listing!$C$2:$C$1000, "&lt;" &amp; F32 + 1),
IFERROR(INDEX(Listing!$B$2:$B$1000,MATCH(1, (Calendar!$L$7=Listing!$A$2:$A$1000) * (F32 = FLOOR(Listing!$C$2:$C$1000,1)),0)),""))</f>
        <v/>
      </c>
      <c r="G35" s="16" t="str">
        <f t="array" aca="1" ref="G35" ca="1">IF(COUNTIFS(Listing!$A$2:$A$1000, Calendar!$L$7, Listing!$C$2:$C$1000, "&gt;=" &amp; G32, Listing!$C$2:$C$1000, "&lt;" &amp; G32 + 1) &gt; 1,
COUNTIFS(Listing!$A$2:$A$1000, Calendar!$L$7, Listing!$C$2:$C$1000, "&gt;=" &amp; G32, Listing!$C$2:$C$1000, "&lt;" &amp; G32 + 1),
IFERROR(INDEX(Listing!$B$2:$B$1000,MATCH(1, (Calendar!$L$7=Listing!$A$2:$A$1000) * (G32 = FLOOR(Listing!$C$2:$C$1000,1)),0)),""))</f>
        <v/>
      </c>
      <c r="H35" s="16" t="str">
        <f t="array" aca="1" ref="H35" ca="1">IF(COUNTIFS(Listing!$A$2:$A$1000, Calendar!$L$7, Listing!$C$2:$C$1000, "&gt;=" &amp; H32, Listing!$C$2:$C$1000, "&lt;" &amp; H32 + 1) &gt; 1,
COUNTIFS(Listing!$A$2:$A$1000, Calendar!$L$7, Listing!$C$2:$C$1000, "&gt;=" &amp; H32, Listing!$C$2:$C$1000, "&lt;" &amp; H32 + 1),
IFERROR(INDEX(Listing!$B$2:$B$1000,MATCH(1, (Calendar!$L$7=Listing!$A$2:$A$1000) * (H32 = FLOOR(Listing!$C$2:$C$1000,1)),0)),""))</f>
        <v/>
      </c>
      <c r="I35" s="16" t="str">
        <f t="array" aca="1" ref="I35" ca="1">IF(COUNTIFS(Listing!$A$2:$A$1000, Calendar!$L$7, Listing!$C$2:$C$1000, "&gt;=" &amp; I32, Listing!$C$2:$C$1000, "&lt;" &amp; I32 + 1) &gt; 1,
COUNTIFS(Listing!$A$2:$A$1000, Calendar!$L$7, Listing!$C$2:$C$1000, "&gt;=" &amp; I32, Listing!$C$2:$C$1000, "&lt;" &amp; I32 + 1),
IFERROR(INDEX(Listing!$B$2:$B$1000,MATCH(1, (Calendar!$L$7=Listing!$A$2:$A$1000) * (I32 = FLOOR(Listing!$C$2:$C$1000,1)),0)),""))</f>
        <v/>
      </c>
      <c r="J35" s="6" t="s">
        <v>0</v>
      </c>
      <c r="K35" s="39">
        <v>0.75</v>
      </c>
      <c r="L35" s="33"/>
      <c r="N35" s="37"/>
    </row>
    <row r="36" spans="2:15" ht="16.8" customHeight="1">
      <c r="B36" s="24"/>
      <c r="C36" s="16" t="str">
        <f t="array" aca="1" ref="C36" ca="1">IF(COUNTIFS(Listing!$A$2:$A$1000, Calendar!$L$8, Listing!$C$2:$C$1000, "&gt;=" &amp; C32, Listing!$C$2:$C$1000, "&lt;" &amp; C32 + 1) &gt; 1,
COUNTIFS(Listing!$A$2:$A$1000, Calendar!$L$8, Listing!$C$2:$C$1000, "&gt;=" &amp; C32, Listing!$C$2:$C$1000, "&lt;" &amp; C32 + 1),
IFERROR(INDEX(Listing!$B$2:$B$1000,MATCH(1, (Calendar!$L$8=Listing!$A$2:$A$1000) * (C32 = FLOOR(Listing!$C$2:$C$1000,1)),0)),""))</f>
        <v/>
      </c>
      <c r="D36" s="16" t="str">
        <f t="array" aca="1" ref="D36" ca="1">IF(COUNTIFS(Listing!$A$2:$A$1000, Calendar!$L$8, Listing!$C$2:$C$1000, "&gt;=" &amp; D32, Listing!$C$2:$C$1000, "&lt;" &amp; D32 + 1) &gt; 1,
COUNTIFS(Listing!$A$2:$A$1000, Calendar!$L$8, Listing!$C$2:$C$1000, "&gt;=" &amp; D32, Listing!$C$2:$C$1000, "&lt;" &amp; D32 + 1),
IFERROR(INDEX(Listing!$B$2:$B$1000,MATCH(1, (Calendar!$L$8=Listing!$A$2:$A$1000) * (D32 = FLOOR(Listing!$C$2:$C$1000,1)),0)),""))</f>
        <v>Arielle Ankney</v>
      </c>
      <c r="E36" s="16" t="str">
        <f t="array" aca="1" ref="E36" ca="1">IF(COUNTIFS(Listing!$A$2:$A$1000, Calendar!$L$8, Listing!$C$2:$C$1000, "&gt;=" &amp; E32, Listing!$C$2:$C$1000, "&lt;" &amp; E32 + 1) &gt; 1,
COUNTIFS(Listing!$A$2:$A$1000, Calendar!$L$8, Listing!$C$2:$C$1000, "&gt;=" &amp; E32, Listing!$C$2:$C$1000, "&lt;" &amp; E32 + 1),
IFERROR(INDEX(Listing!$B$2:$B$1000,MATCH(1, (Calendar!$L$8=Listing!$A$2:$A$1000) * (E32 = FLOOR(Listing!$C$2:$C$1000,1)),0)),""))</f>
        <v/>
      </c>
      <c r="F36" s="16" t="str">
        <f t="array" aca="1" ref="F36" ca="1">IF(COUNTIFS(Listing!$A$2:$A$1000, Calendar!$L$8, Listing!$C$2:$C$1000, "&gt;=" &amp; F32, Listing!$C$2:$C$1000, "&lt;" &amp; F32 + 1) &gt; 1,
COUNTIFS(Listing!$A$2:$A$1000, Calendar!$L$8, Listing!$C$2:$C$1000, "&gt;=" &amp; F32, Listing!$C$2:$C$1000, "&lt;" &amp; F32 + 1),
IFERROR(INDEX(Listing!$B$2:$B$1000,MATCH(1, (Calendar!$L$8=Listing!$A$2:$A$1000) * (F32 = FLOOR(Listing!$C$2:$C$1000,1)),0)),""))</f>
        <v/>
      </c>
      <c r="G36" s="16">
        <f t="array" aca="1" ref="G36" ca="1">IF(COUNTIFS(Listing!$A$2:$A$1000, Calendar!$L$8, Listing!$C$2:$C$1000, "&gt;=" &amp; G32, Listing!$C$2:$C$1000, "&lt;" &amp; G32 + 1) &gt; 1,
COUNTIFS(Listing!$A$2:$A$1000, Calendar!$L$8, Listing!$C$2:$C$1000, "&gt;=" &amp; G32, Listing!$C$2:$C$1000, "&lt;" &amp; G32 + 1),
IFERROR(INDEX(Listing!$B$2:$B$1000,MATCH(1, (Calendar!$L$8=Listing!$A$2:$A$1000) * (G32 = FLOOR(Listing!$C$2:$C$1000,1)),0)),""))</f>
        <v>2</v>
      </c>
      <c r="H36" s="16" t="str">
        <f t="array" aca="1" ref="H36" ca="1">IF(COUNTIFS(Listing!$A$2:$A$1000, Calendar!$L$8, Listing!$C$2:$C$1000, "&gt;=" &amp; H32, Listing!$C$2:$C$1000, "&lt;" &amp; H32 + 1) &gt; 1,
COUNTIFS(Listing!$A$2:$A$1000, Calendar!$L$8, Listing!$C$2:$C$1000, "&gt;=" &amp; H32, Listing!$C$2:$C$1000, "&lt;" &amp; H32 + 1),
IFERROR(INDEX(Listing!$B$2:$B$1000,MATCH(1, (Calendar!$L$8=Listing!$A$2:$A$1000) * (H32 = FLOOR(Listing!$C$2:$C$1000,1)),0)),""))</f>
        <v/>
      </c>
      <c r="I36" s="16" t="str">
        <f t="array" aca="1" ref="I36" ca="1">IF(COUNTIFS(Listing!$A$2:$A$1000, Calendar!$L$8, Listing!$C$2:$C$1000, "&gt;=" &amp; I32, Listing!$C$2:$C$1000, "&lt;" &amp; I32 + 1) &gt; 1,
COUNTIFS(Listing!$A$2:$A$1000, Calendar!$L$8, Listing!$C$2:$C$1000, "&gt;=" &amp; I32, Listing!$C$2:$C$1000, "&lt;" &amp; I32 + 1),
IFERROR(INDEX(Listing!$B$2:$B$1000,MATCH(1, (Calendar!$L$8=Listing!$A$2:$A$1000) * (I32 = FLOOR(Listing!$C$2:$C$1000,1)),0)),""))</f>
        <v>Gwen Genna</v>
      </c>
      <c r="J36" s="6" t="s">
        <v>0</v>
      </c>
      <c r="K36" s="40">
        <v>0.77083333333333337</v>
      </c>
      <c r="L36" s="34"/>
      <c r="N36" s="38"/>
      <c r="O36" s="43" t="str">
        <f ca="1">IF(COUNTIFS(L13:L36,"?*",K13:K36, "&gt;"&amp;$L$37) = 0, "No More Tasks!", COUNTIFS(L13:L36,"?*",K13:K36, "&gt;"&amp;$L$37))</f>
        <v>No More Tasks!</v>
      </c>
    </row>
    <row r="37" spans="2:15" ht="16.8" customHeight="1">
      <c r="B37" s="25"/>
      <c r="C37" s="16" t="str">
        <f t="array" aca="1" ref="C37" ca="1">IF(COUNTIFS(Listing!$A$2:$A$1000, Calendar!$L$9, Listing!$C$2:$C$1000, "&gt;=" &amp; C32, Listing!$C$2:$C$1000, "&lt;" &amp; C32 + 1) &gt; 1,
COUNTIFS(Listing!$A$2:$A$1000, Calendar!$L$9, Listing!$C$2:$C$1000, "&gt;=" &amp; C32, Listing!$C$2:$C$1000, "&lt;" &amp; C32 + 1),
IFERROR(INDEX(Listing!$B$2:$B$1000,MATCH(1, (Calendar!$L$9=Listing!$A$2:$A$1000) * (C32 = FLOOR(Listing!$C$2:$C$1000,1)),0)),""))</f>
        <v/>
      </c>
      <c r="D37" s="16" t="str">
        <f t="array" aca="1" ref="D37" ca="1">IF(COUNTIFS(Listing!$A$2:$A$1000, Calendar!$L$9, Listing!$C$2:$C$1000, "&gt;=" &amp; D32, Listing!$C$2:$C$1000, "&lt;" &amp; D32 + 1) &gt; 1,
COUNTIFS(Listing!$A$2:$A$1000, Calendar!$L$9, Listing!$C$2:$C$1000, "&gt;=" &amp; D32, Listing!$C$2:$C$1000, "&lt;" &amp; D32 + 1),
IFERROR(INDEX(Listing!$B$2:$B$1000,MATCH(1, (Calendar!$L$9=Listing!$A$2:$A$1000) * (D32 = FLOOR(Listing!$C$2:$C$1000,1)),0)),""))</f>
        <v>Manda Meadows</v>
      </c>
      <c r="E37" s="16">
        <f t="array" aca="1" ref="E37" ca="1">IF(COUNTIFS(Listing!$A$2:$A$1000, Calendar!$L$9, Listing!$C$2:$C$1000, "&gt;=" &amp; E32, Listing!$C$2:$C$1000, "&lt;" &amp; E32 + 1) &gt; 1,
COUNTIFS(Listing!$A$2:$A$1000, Calendar!$L$9, Listing!$C$2:$C$1000, "&gt;=" &amp; E32, Listing!$C$2:$C$1000, "&lt;" &amp; E32 + 1),
IFERROR(INDEX(Listing!$B$2:$B$1000,MATCH(1, (Calendar!$L$9=Listing!$A$2:$A$1000) * (E32 = FLOOR(Listing!$C$2:$C$1000,1)),0)),""))</f>
        <v>5</v>
      </c>
      <c r="F37" s="16" t="str">
        <f t="array" aca="1" ref="F37" ca="1">IF(COUNTIFS(Listing!$A$2:$A$1000, Calendar!$L$9, Listing!$C$2:$C$1000, "&gt;=" &amp; F32, Listing!$C$2:$C$1000, "&lt;" &amp; F32 + 1) &gt; 1,
COUNTIFS(Listing!$A$2:$A$1000, Calendar!$L$9, Listing!$C$2:$C$1000, "&gt;=" &amp; F32, Listing!$C$2:$C$1000, "&lt;" &amp; F32 + 1),
IFERROR(INDEX(Listing!$B$2:$B$1000,MATCH(1, (Calendar!$L$9=Listing!$A$2:$A$1000) * (F32 = FLOOR(Listing!$C$2:$C$1000,1)),0)),""))</f>
        <v>Haywood Henke</v>
      </c>
      <c r="G37" s="16" t="str">
        <f t="array" aca="1" ref="G37" ca="1">IF(COUNTIFS(Listing!$A$2:$A$1000, Calendar!$L$9, Listing!$C$2:$C$1000, "&gt;=" &amp; G32, Listing!$C$2:$C$1000, "&lt;" &amp; G32 + 1) &gt; 1,
COUNTIFS(Listing!$A$2:$A$1000, Calendar!$L$9, Listing!$C$2:$C$1000, "&gt;=" &amp; G32, Listing!$C$2:$C$1000, "&lt;" &amp; G32 + 1),
IFERROR(INDEX(Listing!$B$2:$B$1000,MATCH(1, (Calendar!$L$9=Listing!$A$2:$A$1000) * (G32 = FLOOR(Listing!$C$2:$C$1000,1)),0)),""))</f>
        <v>Carson Clary</v>
      </c>
      <c r="H37" s="16" t="str">
        <f t="array" aca="1" ref="H37" ca="1">IF(COUNTIFS(Listing!$A$2:$A$1000, Calendar!$L$9, Listing!$C$2:$C$1000, "&gt;=" &amp; H32, Listing!$C$2:$C$1000, "&lt;" &amp; H32 + 1) &gt; 1,
COUNTIFS(Listing!$A$2:$A$1000, Calendar!$L$9, Listing!$C$2:$C$1000, "&gt;=" &amp; H32, Listing!$C$2:$C$1000, "&lt;" &amp; H32 + 1),
IFERROR(INDEX(Listing!$B$2:$B$1000,MATCH(1, (Calendar!$L$9=Listing!$A$2:$A$1000) * (H32 = FLOOR(Listing!$C$2:$C$1000,1)),0)),""))</f>
        <v/>
      </c>
      <c r="I37" s="16" t="str">
        <f t="array" aca="1" ref="I37" ca="1">IF(COUNTIFS(Listing!$A$2:$A$1000, Calendar!$L$9, Listing!$C$2:$C$1000, "&gt;=" &amp; I32, Listing!$C$2:$C$1000, "&lt;" &amp; I32 + 1) &gt; 1,
COUNTIFS(Listing!$A$2:$A$1000, Calendar!$L$9, Listing!$C$2:$C$1000, "&gt;=" &amp; I32, Listing!$C$2:$C$1000, "&lt;" &amp; I32 + 1),
IFERROR(INDEX(Listing!$B$2:$B$1000,MATCH(1, (Calendar!$L$9=Listing!$A$2:$A$1000) * (I32 = FLOOR(Listing!$C$2:$C$1000,1)),0)),""))</f>
        <v>Carson Clary</v>
      </c>
      <c r="J37" s="6" t="s">
        <v>0</v>
      </c>
      <c r="K37" s="42">
        <f ca="1">NOW()</f>
        <v>42886.68406122685</v>
      </c>
      <c r="L37" s="42">
        <f ca="1">TIME(HOUR($K$37),MINUTE($K$37),0)</f>
        <v>0.68402777777777779</v>
      </c>
    </row>
    <row r="38" spans="2:15" ht="16.8" customHeight="1">
      <c r="B38" s="25"/>
      <c r="C38" s="18"/>
      <c r="D38" s="18"/>
      <c r="E38" s="18"/>
      <c r="F38" s="18"/>
      <c r="G38" s="18"/>
      <c r="H38" s="18"/>
      <c r="I38" s="18"/>
      <c r="J38" s="6" t="s">
        <v>0</v>
      </c>
      <c r="K38" s="21" t="s">
        <v>237</v>
      </c>
    </row>
  </sheetData>
  <mergeCells count="1">
    <mergeCell ref="C1:G1"/>
  </mergeCells>
  <conditionalFormatting sqref="C4:I4 C11:I11 C18:I18 C25:I25 C32:I32">
    <cfRule type="expression" dxfId="16" priority="303">
      <formula xml:space="preserve"> C4 = TODAY()</formula>
    </cfRule>
    <cfRule type="expression" dxfId="15" priority="304">
      <formula xml:space="preserve"> MONTH(C4) &lt;&gt; MONTH($C$1)</formula>
    </cfRule>
  </conditionalFormatting>
  <conditionalFormatting sqref="C5:I5 C12:I12 C19:I19 C26:I26 C33:I33">
    <cfRule type="expression" dxfId="14" priority="20">
      <formula xml:space="preserve"> C5 &lt;&gt; ""</formula>
    </cfRule>
  </conditionalFormatting>
  <conditionalFormatting sqref="C6:I6 C13:I13 C20:I20 C27:I27 C34:I34">
    <cfRule type="expression" dxfId="13" priority="19">
      <formula xml:space="preserve"> C6 &lt;&gt; ""</formula>
    </cfRule>
  </conditionalFormatting>
  <conditionalFormatting sqref="C7:I7 C14:I14 C21:I21 C28:I28 C35:I35">
    <cfRule type="expression" dxfId="12" priority="18">
      <formula xml:space="preserve"> C7 &lt;&gt; ""</formula>
    </cfRule>
  </conditionalFormatting>
  <conditionalFormatting sqref="C8:I8 C15:I15 C22:I22 C29:I29 C36:I36">
    <cfRule type="expression" dxfId="11" priority="17">
      <formula xml:space="preserve"> C8 &lt;&gt; ""</formula>
    </cfRule>
  </conditionalFormatting>
  <conditionalFormatting sqref="C9:I9 C16:I16 C23:I23 C30:I30 C37:I37">
    <cfRule type="expression" dxfId="10" priority="16">
      <formula xml:space="preserve"> C9 &lt;&gt;""</formula>
    </cfRule>
  </conditionalFormatting>
  <conditionalFormatting sqref="C5:I9 C12:I16 C19:I23 C26:I30 C33:I37">
    <cfRule type="expression" dxfId="9" priority="15">
      <formula xml:space="preserve"> ISNUMBER(C5)</formula>
    </cfRule>
  </conditionalFormatting>
  <conditionalFormatting sqref="K12">
    <cfRule type="expression" dxfId="8" priority="13">
      <formula>NOT(AND(K12&lt;TODAY()+180,K12&gt;TODAY()-180))</formula>
    </cfRule>
  </conditionalFormatting>
  <conditionalFormatting sqref="K13:L36">
    <cfRule type="expression" dxfId="7" priority="350">
      <formula>AND($K12&lt;$L$37,$L$37&lt;=$K13)</formula>
    </cfRule>
    <cfRule type="expression" dxfId="6" priority="351">
      <formula>$K12&gt;=$L$37</formula>
    </cfRule>
    <cfRule type="expression" dxfId="5" priority="352">
      <formula xml:space="preserve"> $L13 &lt;&gt; ""</formula>
    </cfRule>
  </conditionalFormatting>
  <conditionalFormatting sqref="N12:N35">
    <cfRule type="expression" dxfId="4" priority="353">
      <formula>AND($K12&lt;$L$37,$L$37&lt;=$K13)</formula>
    </cfRule>
    <cfRule type="expression" dxfId="3" priority="354">
      <formula>$K12&gt;=$L$37</formula>
    </cfRule>
  </conditionalFormatting>
  <conditionalFormatting sqref="N36">
    <cfRule type="expression" dxfId="2" priority="357">
      <formula>AND($K35&lt;$L$37,$L$37&lt;=$K36)</formula>
    </cfRule>
    <cfRule type="expression" dxfId="1" priority="358">
      <formula>$K35&gt;=$L$37</formula>
    </cfRule>
  </conditionalFormatting>
  <printOptions horizontalCentered="1" verticalCentered="1"/>
  <pageMargins left="0.25" right="0.25" top="0.75" bottom="0.75" header="0.3" footer="0.3"/>
  <pageSetup paperSize="9" scale="68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8" r:id="rId4" name="Spinner 12">
              <controlPr defaultSize="0" autoPict="0" macro="[0]!Sheet2.Spinner12_Change">
                <anchor moveWithCells="1" sizeWithCells="1">
                  <from>
                    <xdr:col>4</xdr:col>
                    <xdr:colOff>929640</xdr:colOff>
                    <xdr:row>0</xdr:row>
                    <xdr:rowOff>449580</xdr:rowOff>
                  </from>
                  <to>
                    <xdr:col>4</xdr:col>
                    <xdr:colOff>1181100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5" name="Button 13">
              <controlPr defaultSize="0" print="0" autoFill="0" autoPict="0" macro="[0]!PrintCalendar.PrintCalendar">
                <anchor moveWithCells="1" sizeWithCells="1">
                  <from>
                    <xdr:col>8</xdr:col>
                    <xdr:colOff>335280</xdr:colOff>
                    <xdr:row>0</xdr:row>
                    <xdr:rowOff>419100</xdr:rowOff>
                  </from>
                  <to>
                    <xdr:col>9</xdr:col>
                    <xdr:colOff>0</xdr:colOff>
                    <xdr:row>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6" name="Button 20">
              <controlPr defaultSize="0" print="0" autoFill="0" autoPict="0" macro="[0]!Update_Data.MainSub">
                <anchor moveWithCells="1" sizeWithCells="1">
                  <from>
                    <xdr:col>6</xdr:col>
                    <xdr:colOff>731520</xdr:colOff>
                    <xdr:row>0</xdr:row>
                    <xdr:rowOff>426720</xdr:rowOff>
                  </from>
                  <to>
                    <xdr:col>7</xdr:col>
                    <xdr:colOff>381000</xdr:colOff>
                    <xdr:row>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7" name="Button 21">
              <controlPr defaultSize="0" print="0" autoFill="0" autoPict="0" macro="[0]!Sheet2.today_Click">
                <anchor moveWithCells="1" sizeWithCells="1">
                  <from>
                    <xdr:col>5</xdr:col>
                    <xdr:colOff>944880</xdr:colOff>
                    <xdr:row>0</xdr:row>
                    <xdr:rowOff>426720</xdr:rowOff>
                  </from>
                  <to>
                    <xdr:col>6</xdr:col>
                    <xdr:colOff>609600</xdr:colOff>
                    <xdr:row>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86" r:id="rId8" name="Button 10338">
              <controlPr defaultSize="0" print="0" autoFill="0" autoPict="0" macro="[0]!CalExport.MainSub">
                <anchor moveWithCells="1" sizeWithCells="1">
                  <from>
                    <xdr:col>7</xdr:col>
                    <xdr:colOff>541020</xdr:colOff>
                    <xdr:row>0</xdr:row>
                    <xdr:rowOff>426720</xdr:rowOff>
                  </from>
                  <to>
                    <xdr:col>8</xdr:col>
                    <xdr:colOff>205740</xdr:colOff>
                    <xdr:row>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28" r:id="rId9" name="Button 10980">
              <controlPr defaultSize="0" print="0" autoFill="0" autoPict="0" macro="[0]!ShowHide" altText="">
                <anchor moveWithCells="1" sizeWithCells="1">
                  <from>
                    <xdr:col>4</xdr:col>
                    <xdr:colOff>1318260</xdr:colOff>
                    <xdr:row>0</xdr:row>
                    <xdr:rowOff>441960</xdr:rowOff>
                  </from>
                  <to>
                    <xdr:col>5</xdr:col>
                    <xdr:colOff>868680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4" id="{F0830265-E20D-4ACF-B325-3F855D6C75EB}">
            <xm:f>OR(WEEKDAY(C4)=1,WEEKDAY(C4)=7,IFERROR(MATCH(C4,'PH (hidden)'!$A$2:$A$100,0)&gt;0,FALSE))</xm:f>
            <x14:dxf>
              <font>
                <color rgb="FFFF0000"/>
              </font>
            </x14:dxf>
          </x14:cfRule>
          <xm:sqref>C4:I4 C11:I11 C18:I18 C25:I25 C32:I32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PH (hidden)</vt:lpstr>
      <vt:lpstr>Listing</vt:lpstr>
      <vt:lpstr>Calendar</vt:lpstr>
      <vt:lpstr>Listing!Extract</vt:lpstr>
      <vt:lpstr>Calendar!Print_Area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Fredy</dc:creator>
  <cp:lastModifiedBy>Owner</cp:lastModifiedBy>
  <cp:lastPrinted>2017-05-31T06:56:46Z</cp:lastPrinted>
  <dcterms:created xsi:type="dcterms:W3CDTF">2016-10-03T02:15:41Z</dcterms:created>
  <dcterms:modified xsi:type="dcterms:W3CDTF">2017-05-31T08:25:09Z</dcterms:modified>
</cp:coreProperties>
</file>